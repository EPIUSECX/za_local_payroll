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YE by Employee" sheetId="2" state="visible" r:id="rId4"/>
    <sheet name="Monthly Company Totals" sheetId="3" state="visible" r:id="rId5"/>
    <sheet name="Line Item Reconciliation" sheetId="4" state="visible" r:id="rId6"/>
    <sheet name="PAYE Variance Analysis" sheetId="5" state="visible" r:id="rId7"/>
    <sheet name="Configuration Register" sheetId="6" state="visible" r:id="rId8"/>
    <sheet name="Derived Opening Balan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<sst xmlns="http://schemas.openxmlformats.org/spreadsheetml/2006/main" count="339" uniqueCount="202">
  <si>
    <t xml:space="preserve">South Africa payroll localisation - 12-month reconciliation</t>
  </si>
  <si>
    <t xml:space="preserve">Metric Engineering (Pty) Ltd | 11 fictitious employees | Oct 2025 - Sep 2026 | Prepared 7 October 2026</t>
  </si>
  <si>
    <t xml:space="preserve">Measure</t>
  </si>
  <si>
    <t xml:space="preserve">Source</t>
  </si>
  <si>
    <t xml:space="preserve">System</t>
  </si>
  <si>
    <t xml:space="preserve">Difference</t>
  </si>
  <si>
    <t xml:space="preserve">12-month PAYE (R)</t>
  </si>
  <si>
    <t xml:space="preserve">12-month total earnings (R)</t>
  </si>
  <si>
    <t xml:space="preserve">12-month UIF employee (R)</t>
  </si>
  <si>
    <t xml:space="preserve">12-month SDL (R)</t>
  </si>
  <si>
    <t xml:space="preserve">12-month company contributions (R)</t>
  </si>
  <si>
    <t xml:space="preserve">Key findings</t>
  </si>
  <si>
    <t xml:space="preserve">Result: earnings, UIF, SDL and company contributions match exactly (SDL differs by R0.01 in total).</t>
  </si>
  <si>
    <t xml:space="preserve">PAYE matches within R0.05 in 93 of 132 employee-months and within R0.40 in 14 more. The remaining 25 cells fall into two causes: source applied 2025/26 tables in March 2026 and corrected in April (22 cells, nets to cents), and employee 003 retirement-annuity treatment (3 cells).</t>
  </si>
  <si>
    <t xml:space="preserve">12-month PAYE: system is R84.96 below the source; R84.77 of that is employee 003 (Aug 2026).</t>
  </si>
  <si>
    <t xml:space="preserve">No overrides or manual amounts: all figures come from Salary Structure, Additional Salary, SSA, take-on and the SA payroll engine.</t>
  </si>
  <si>
    <t xml:space="preserve">Opening balances for Mar-Sep 2025 are derived, not supplied. Treat Oct 2025 as calibration and Nov 2025 onwards as the test.</t>
  </si>
  <si>
    <t xml:space="preserve">Recommendation: CONDITIONAL GO - see RECONCILIATION_REPORT.md for conditions and confidence by domain.</t>
  </si>
  <si>
    <t xml:space="preserve">PAYE by employee and month: source vs system</t>
  </si>
  <si>
    <t xml:space="preserve">Source = GS Test Employee12MonthReport.xlsx. System = Salary Slips calculated on cohenix.localhost (Metric Engineering (Pty) Ltd). Difference = System - Source (formula).</t>
  </si>
  <si>
    <t xml:space="preserve">Source (GS report)</t>
  </si>
  <si>
    <t xml:space="preserve">Employee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</si>
  <si>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</si>
  <si>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</si>
  <si>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</si>
  <si>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</si>
  <si>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</si>
  <si>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</si>
  <si>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</si>
  <si>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</si>
  <si>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</si>
  <si>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</si>
  <si>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</si>
  <si>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</si>
  <si>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12-month total</t>
  </si>
  <si>
    <t xml:space="preserve">Thabo Mokoena - 001</t>
  </si>
  <si>
    <t xml:space="preserve">Lerato Dlamini - 002</t>
  </si>
  <si>
    <t xml:space="preserve">Pieter van der Merwe - 003</t>
  </si>
  <si>
    <t xml:space="preserve">Naledi Khumalo - 004</t>
  </si>
  <si>
    <t xml:space="preserve">Sipho Ndlovu - 005</t>
  </si>
  <si>
    <t xml:space="preserve">Annelie Botha - 006</t>
  </si>
  <si>
    <t xml:space="preserve">Kagiso Molefe - 007</t>
  </si>
  <si>
    <t xml:space="preserve">Ayesha Patel - 008</t>
  </si>
  <si>
    <t xml:space="preserve">Johan Pretorius - 009</t>
  </si>
  <si>
    <t xml:space="preserve">Zanele Nkosi - 010</t>
  </si>
  <si>
    <t xml:space="preserve">Michael O'Connor - 011</t>
  </si>
  <si>
    <t xml:space="preserve">Company total</t>
  </si>
  <si>
    <t xml:space="preserve">System (za_local_payroll)</t>
  </si>
  <si>
    <t xml:space="preserve">Difference (System - Source)</t>
  </si>
  <si>
    <t xml:space="preserve">Company totals per month (11 employees)</t>
  </si>
  <si>
    <t xml:space="preserve">Blue = values from data; black = formulas. Differences are System - Source.</t>
  </si>
  <si>
    <t xml:space="preserve">Month</t>
  </si>
  <si>
    <t xml:space="preserve">Total earnings (TOT:EARN) - Source</t>
  </si>
  <si>
    <t xml:space="preserve">Total earnings (TOT:EARN) - System</t>
  </si>
  <si>
    <t xml:space="preserve">Total earnings (TOT:EARN) - Diff</t>
  </si>
  <si>
    <t xml:space="preserve">PAYE - Source</t>
  </si>
  <si>
    <t xml:space="preserve">PAYE - System</t>
  </si>
  <si>
    <t xml:space="preserve">PAYE - Diff</t>
  </si>
  <si>
    <t xml:space="preserve">UIF employee - Source</t>
  </si>
  <si>
    <t xml:space="preserve">UIF employee - System</t>
  </si>
  <si>
    <t xml:space="preserve">UIF employee - Diff</t>
  </si>
  <si>
    <t xml:space="preserve">UIF employer - Source</t>
  </si>
  <si>
    <t xml:space="preserve">UIF employer - System</t>
  </si>
  <si>
    <t xml:space="preserve">UIF employer - Diff</t>
  </si>
  <si>
    <t xml:space="preserve">SDL - Source</t>
  </si>
  <si>
    <t xml:space="preserve">SDL - System</t>
  </si>
  <si>
    <t xml:space="preserve">SDL - Diff</t>
  </si>
  <si>
    <t xml:space="preserve">Total company contributions (TOT:CC) - Source</t>
  </si>
  <si>
    <t xml:space="preserve">Total company contributions (TOT:CC) - System</t>
  </si>
  <si>
    <t xml:space="preserve">Total company contributions (TOT:CC) - Diff</t>
  </si>
  <si>
    <t xml:space="preserve">Total deductions (TOT:DED) - Source</t>
  </si>
  <si>
    <t xml:space="preserve">Total deductions (TOT:DED) - System</t>
  </si>
  <si>
    <t xml:space="preserve">Total deductions (TOT:DED) - Diff</t>
  </si>
  <si>
    <t xml:space="preserve">Note: TOT:DED differs only for employee 003 (RAF 7 080.91-7 607.25 per month). The source shows RAF as a memo line outside TOT:DED; the system deducts it like any retirement-annuity contribution so the GL (Payroll Payable) stays consistent with net pay.</t>
  </si>
  <si>
    <t xml:space="preserve">Line-by-line reconciliation (132 employee-months)</t>
  </si>
  <si>
    <t xml:space="preserve">Every source line compared with the corresponding Salary Slip row. 'Within 1c' counts cells where |difference| &lt;= R0.01.</t>
  </si>
  <si>
    <t xml:space="preserve">Source line</t>
  </si>
  <si>
    <t xml:space="preserve">Cells compared</t>
  </si>
  <si>
    <t xml:space="preserve">Within 1c</t>
  </si>
  <si>
    <t xml:space="preserve">Largest |difference|</t>
  </si>
  <si>
    <t xml:space="preserve">Source total</t>
  </si>
  <si>
    <t xml:space="preserve">System total</t>
  </si>
  <si>
    <t xml:space="preserve">Total difference</t>
  </si>
  <si>
    <t xml:space="preserve">TOT:EARN</t>
  </si>
  <si>
    <t xml:space="preserve">PAYE</t>
  </si>
  <si>
    <t xml:space="preserve">UIF (employee)</t>
  </si>
  <si>
    <t xml:space="preserve">TOT:DED</t>
  </si>
  <si>
    <t xml:space="preserve">SDL</t>
  </si>
  <si>
    <t xml:space="preserve">UIF (employer)</t>
  </si>
  <si>
    <t xml:space="preserve">TOT:CC</t>
  </si>
  <si>
    <t xml:space="preserve">line:SALARY</t>
  </si>
  <si>
    <t xml:space="preserve">line:LAPTOP_ALLOW</t>
  </si>
  <si>
    <t xml:space="preserve">line:LIFE_COVER</t>
  </si>
  <si>
    <t xml:space="preserve">line:COMM_REIMBURSE</t>
  </si>
  <si>
    <t xml:space="preserve">line:HBR</t>
  </si>
  <si>
    <t xml:space="preserve">line:SOFT_ALLOW</t>
  </si>
  <si>
    <t xml:space="preserve">line:LIFE_COVER_DED</t>
  </si>
  <si>
    <t xml:space="preserve">line:LIFE_COVER_ADD</t>
  </si>
  <si>
    <t xml:space="preserve">line:PS_RISK</t>
  </si>
  <si>
    <t xml:space="preserve">line:BONUS</t>
  </si>
  <si>
    <t xml:space="preserve">line:LAPTOP_LEASE</t>
  </si>
  <si>
    <t xml:space="preserve">line:PAYMENT</t>
  </si>
  <si>
    <t xml:space="preserve">line:REFERAL</t>
  </si>
  <si>
    <t xml:space="preserve">line:GS_VARIABLE</t>
  </si>
  <si>
    <t xml:space="preserve">line:EXPCLAIM</t>
  </si>
  <si>
    <t xml:space="preserve">Where PAYE differs and why</t>
  </si>
  <si>
    <t xml:space="preserve">132 PAYE cells (11 employees x 12 months).</t>
  </si>
  <si>
    <t xml:space="preserve">Category</t>
  </si>
  <si>
    <t xml:space="preserve">Cells</t>
  </si>
  <si>
    <t xml:space="preserve">Explanation</t>
  </si>
  <si>
    <t xml:space="preserve">Within R0.05</t>
  </si>
  <si>
    <t xml:space="preserve">Matches the source to the cent, or within cumulative rounding.</t>
  </si>
  <si>
    <t xml:space="preserve">R0.06 - R0.40 (rounding)</t>
  </si>
  <si>
    <t xml:space="preserve">February (year-end) cumulative rounding, plus a few cells at R0.06-R0.07. Largest R0.38.</t>
  </si>
  <si>
    <t xml:space="preserve">March / April 2026 (all 11)</t>
  </si>
  <si>
    <t xml:space="preserve">Source taxed March 2026 on the 2025/26 tables and corrected in April. System applies the 2026/27 tables from 1 March 2026. Mar + Apr combined differ by R0.02-R0.07 per employee.</t>
  </si>
  <si>
    <t xml:space="preserve">Employee 003 - Jan, Feb, Aug</t>
  </si>
  <si>
    <t xml:space="preserve">-R73.38 / +R73.41 (Jan/Feb, reverses) and -R84.77 (Aug, persists). Source retirement-annuity deduction behaves differently from the RAF memo amount in those months; unexplained.</t>
  </si>
  <si>
    <t xml:space="preserve">Total</t>
  </si>
  <si>
    <t xml:space="preserve">What was configured on cohenix.localhost</t>
  </si>
  <si>
    <t xml:space="preserve">Company: Metric Engineering (Pty) Ltd (MET). Payroll apps: za_local_core 2.0.0, za_local_payroll 2.1.0, za_local_bma 0.1.0 on Frappe/ERPNext 16.50.0, HRMS 16.20.1.</t>
  </si>
  <si>
    <t xml:space="preserve">Salary component</t>
  </si>
  <si>
    <t xml:space="preserve">Type</t>
  </si>
  <si>
    <t xml:space="preserve">Source code</t>
  </si>
  <si>
    <t xml:space="preserve">SARS code</t>
  </si>
  <si>
    <t xml:space="preserve">Treatment</t>
  </si>
  <si>
    <t xml:space="preserve">PAYE %</t>
  </si>
  <si>
    <t xml:space="preserve">UIF</t>
  </si>
  <si>
    <t xml:space="preserve">COIDA</t>
  </si>
  <si>
    <t xml:space="preserve">Notes</t>
  </si>
  <si>
    <t xml:space="preserve">SALARY</t>
  </si>
  <si>
    <t xml:space="preserve">Earning</t>
  </si>
  <si>
    <t xml:space="preserve">3601</t>
  </si>
  <si>
    <t xml:space="preserve">Regular Remuneration</t>
  </si>
  <si>
    <t xml:space="preserve">Structure formula = base; ETI wage component</t>
  </si>
  <si>
    <t xml:space="preserve">LAPTOP_ALLOW</t>
  </si>
  <si>
    <t xml:space="preserve">3713</t>
  </si>
  <si>
    <t xml:space="preserve">Taxable allowance</t>
  </si>
  <si>
    <t xml:space="preserve">SOFT_ALLOW</t>
  </si>
  <si>
    <t xml:space="preserve">SOFT_ALL / SOFT_ALLOW</t>
  </si>
  <si>
    <t xml:space="preserve">Source uses two spellings; one component</t>
  </si>
  <si>
    <t xml:space="preserve">LIFE_COVER</t>
  </si>
  <si>
    <t xml:space="preserve">LIFE_COVER (earning)</t>
  </si>
  <si>
    <t xml:space="preserve">3801</t>
  </si>
  <si>
    <t xml:space="preserve">Taxable fringe, recovered by LIFE_COVER_DED</t>
  </si>
  <si>
    <t xml:space="preserve">HBR</t>
  </si>
  <si>
    <t xml:space="preserve">Hours x rate; hours footer not modelled</t>
  </si>
  <si>
    <t xml:space="preserve">PS_RISK</t>
  </si>
  <si>
    <t xml:space="preserve">3606</t>
  </si>
  <si>
    <t xml:space="preserve">Commission</t>
  </si>
  <si>
    <t xml:space="preserve">Hours x rate</t>
  </si>
  <si>
    <t xml:space="preserve">GS_VARIABLE</t>
  </si>
  <si>
    <t xml:space="preserve">Variable pay</t>
  </si>
  <si>
    <t xml:space="preserve">BONUS</t>
  </si>
  <si>
    <t xml:space="preserve">3605</t>
  </si>
  <si>
    <t xml:space="preserve">Annual Payment (once-off full tax)</t>
  </si>
  <si>
    <t xml:space="preserve">Source taxes bonus as annual payment</t>
  </si>
  <si>
    <t xml:space="preserve">REFERAL</t>
  </si>
  <si>
    <t xml:space="preserve">No evidence either way in sample</t>
  </si>
  <si>
    <t xml:space="preserve">COMM_REIMBURSE</t>
  </si>
  <si>
    <t xml:space="preserve">3714</t>
  </si>
  <si>
    <t xml:space="preserve">Non-Taxable Reimbursement</t>
  </si>
  <si>
    <t xml:space="preserve">Excluded from PAYE, UIF, SDL, IRP5</t>
  </si>
  <si>
    <t xml:space="preserve">EXPCLAIM</t>
  </si>
  <si>
    <t xml:space="preserve">LIFE_COVER_DED</t>
  </si>
  <si>
    <t xml:space="preserve">Deduction</t>
  </si>
  <si>
    <t xml:space="preserve">LIFE_COVER (deduction)</t>
  </si>
  <si>
    <t xml:space="preserve">-</t>
  </si>
  <si>
    <t xml:space="preserve">Working Paper Only</t>
  </si>
  <si>
    <t xml:space="preserve">Name differs: Frappe component names are unique</t>
  </si>
  <si>
    <t xml:space="preserve">LIFE_COVER_ADD</t>
  </si>
  <si>
    <t xml:space="preserve">Post-tax</t>
  </si>
  <si>
    <t xml:space="preserve">LAPTOP_LEASE</t>
  </si>
  <si>
    <t xml:space="preserve">PAYMENT</t>
  </si>
  <si>
    <t xml:space="preserve">RAF</t>
  </si>
  <si>
    <t xml:space="preserve">RAF (memo line)</t>
  </si>
  <si>
    <t xml:space="preserve">4006</t>
  </si>
  <si>
    <t xml:space="preserve">Retirement Fund</t>
  </si>
  <si>
    <t xml:space="preserve">Pre-tax; reduces PAYE and SDL base (27.5% / R430k cap)</t>
  </si>
  <si>
    <t xml:space="preserve">4102</t>
  </si>
  <si>
    <t xml:space="preserve">Seeded; cumulative (SARS para 9(3)) method</t>
  </si>
  <si>
    <t xml:space="preserve">UIF Employee Contribution</t>
  </si>
  <si>
    <t xml:space="preserve">4141</t>
  </si>
  <si>
    <t xml:space="preserve">1% capped at R17 712 (R177.12)</t>
  </si>
  <si>
    <t xml:space="preserve">UIF Employer Contribution</t>
  </si>
  <si>
    <t xml:space="preserve">Company contribution</t>
  </si>
  <si>
    <t xml:space="preserve">UIF (cost to company)</t>
  </si>
  <si>
    <t xml:space="preserve">Seeded</t>
  </si>
  <si>
    <t xml:space="preserve">SDL Contribution</t>
  </si>
  <si>
    <t xml:space="preserve">4142</t>
  </si>
  <si>
    <t xml:space="preserve">1% of leviable amount</t>
  </si>
  <si>
    <t xml:space="preserve">Salary Structure: MET GS Consultant Monthly (SALARY=base; PAYE; company contributions UIF employer + SDL). All other pay items arrive through 206 submitted Additional Salary records (recurring where the amount repeats).</t>
  </si>
  <si>
    <t xml:space="preserve">Salary Structure Assignments: 23, split at 1 Oct 2025, 1 Mar 2026 (new Income Tax Slab) and at mid-year salary changes (employee 010: 1 Jun 2026).</t>
  </si>
  <si>
    <t xml:space="preserve">Income Tax Slabs: South Africa 2025-2026 - MET and South Africa 2026-2027 - MET (pre-existing). Rebates R17 235 / R17 820; medical credit R364 / R376 per month (employee 006).</t>
  </si>
  <si>
    <t xml:space="preserve">Take-on: BMA Payroll Take-On 'year-to-date totals' for 1 Mar - 30 Sep 2025 (7 periods), prepared by Payroll Admin (test), submitted by Payroll Manager (test) - maker-checker honoured.</t>
  </si>
  <si>
    <t xml:space="preserve">Payroll: 12 Payroll Entries (Oct 2025 - Sep 2026), 132 submitted Salary Slips, 24 accrual journals. EMP201 x12, interim EMP501 (Mar - Aug 2026) with 11 submitted IRP5 certificates.</t>
  </si>
  <si>
    <t xml:space="preserve">Payroll Settings: Allow Packaged Statutory Rates = ticked (practitioner sign-off required; no approved ZA Statutory Rate Pack exists).</t>
  </si>
  <si>
    <t xml:space="preserve">Take-on opening balances for 1 Mar - 30 Sep 2025 (derived, not source data)</t>
  </si>
  <si>
    <t xml:space="preserve">The sample starts in Oct 2025. Opening taxable income and PAYE were solved so Oct 2025 matches, then Nov-Feb were used as independent checks.</t>
  </si>
  <si>
    <t xml:space="preserve">Taxable income to 30 Sep 2025</t>
  </si>
  <si>
    <t xml:space="preserve">PAYE paid to 30 Sep 2025</t>
  </si>
  <si>
    <t xml:space="preserve">Periods represented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</si>
</sst>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356A"/>
      <name val="Verdana"/>
      <family val="0"/>
      <charset val="1"/>
    </font>
    <font>
      <sz val="9"/>
      <color rgb="FF333333"/>
      <name val="Verdana"/>
      <family val="0"/>
      <charset val="1"/>
    </font>
    <font>
      <b val="true"/>
      <sz val="9"/>
      <color rgb="FFFFFFFF"/>
      <name val="Verdana"/>
      <family val="0"/>
      <charset val="1"/>
    </font>
    <font>
      <sz val="9"/>
      <name val="Verdana"/>
      <family val="0"/>
      <charset val="1"/>
    </font>
    <font>
      <sz val="9"/>
      <color rgb="FF008000"/>
      <name val="Verdana"/>
      <family val="0"/>
      <charset val="1"/>
    </font>
    <font>
      <sz val="9"/>
      <color rgb="FF000000"/>
      <name val="Verdana"/>
      <family val="0"/>
      <charset val="1"/>
    </font>
    <font>
      <b val="true"/>
      <sz val="10"/>
      <color rgb="FF24356A"/>
      <name val="Verdana"/>
      <family val="0"/>
      <charset val="1"/>
    </font>
    <font>
      <sz val="9"/>
      <color rgb="FF0000FF"/>
      <name val="Verdana"/>
      <family val="0"/>
      <charset val="1"/>
    </font>
    <font>
      <b val="true"/>
      <sz val="9"/>
      <name val="Verdana"/>
      <family val="0"/>
      <charset val="1"/>
    </font>
    <font>
      <i val="true"/>
      <sz val="9"/>
      <name val="Verdan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750"/>
        <bgColor rgb="FF24356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AD6"/>
      </left>
      <right style="thin">
        <color rgb="FFD7DAD6"/>
      </right>
      <top style="thin">
        <color rgb="FFD7DAD6"/>
      </top>
      <bottom style="thin">
        <color rgb="FFD7DA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9D5D6"/>
        </patternFill>
      </fill>
    </dxf>
  </dxf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7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D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750"/>
      <rgbColor rgb="FF339966"/>
      <rgbColor rgb="FF003300"/>
      <rgbColor rgb="FF333300"/>
      <rgbColor rgb="FF993300"/>
      <rgbColor rgb="FF993366"/>
      <rgbColor rgb="FF2435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181E"/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'PAYE by Employee'!N16</f>
        <v>3478128.4</v>
      </c>
      <c r="C5" s="5" t="n">
        <f aca="false">'PAYE by Employee'!N31</f>
        <v>3478043.44</v>
      </c>
      <c r="D5" s="6" t="n">
        <f aca="false">C5-B5</f>
        <v>-84.9599999999628</v>
      </c>
    </row>
    <row r="6" customFormat="false" ht="15" hidden="false" customHeight="false" outlineLevel="0" collapsed="false">
      <c r="A6" s="4" t="s">
        <v>7</v>
      </c>
      <c r="B6" s="5" t="n">
        <f aca="false">'Monthly Company Totals'!B17</f>
        <v>11730357.81</v>
      </c>
      <c r="C6" s="5" t="n">
        <f aca="false">'Monthly Company Totals'!C17</f>
        <v>11730357.81</v>
      </c>
      <c r="D6" s="6" t="n">
        <f aca="false">C6-B6</f>
        <v>0</v>
      </c>
    </row>
    <row r="7" customFormat="false" ht="15" hidden="false" customHeight="false" outlineLevel="0" collapsed="false">
      <c r="A7" s="4" t="s">
        <v>8</v>
      </c>
      <c r="B7" s="5" t="n">
        <f aca="false">'Monthly Company Totals'!H17</f>
        <v>23379.84</v>
      </c>
      <c r="C7" s="5" t="n">
        <f aca="false">'Monthly Company Totals'!I17</f>
        <v>23379.84</v>
      </c>
      <c r="D7" s="6" t="n">
        <f aca="false">C7-B7</f>
        <v>0</v>
      </c>
    </row>
    <row r="8" customFormat="false" ht="15" hidden="false" customHeight="false" outlineLevel="0" collapsed="false">
      <c r="A8" s="4" t="s">
        <v>9</v>
      </c>
      <c r="B8" s="5" t="n">
        <f aca="false">'Monthly Company Totals'!N17</f>
        <v>115752.8</v>
      </c>
      <c r="C8" s="5" t="n">
        <f aca="false">'Monthly Company Totals'!O17</f>
        <v>115752.79</v>
      </c>
      <c r="D8" s="6" t="n">
        <f aca="false">C8-B8</f>
        <v>-0.00999999999476131</v>
      </c>
    </row>
    <row r="9" customFormat="false" ht="15" hidden="false" customHeight="false" outlineLevel="0" collapsed="false">
      <c r="A9" s="4" t="s">
        <v>10</v>
      </c>
      <c r="B9" s="5" t="n">
        <f aca="false">'Monthly Company Totals'!Q17</f>
        <v>139132.64</v>
      </c>
      <c r="C9" s="5" t="n">
        <f aca="false">'Monthly Company Totals'!R17</f>
        <v>139132.63</v>
      </c>
      <c r="D9" s="6" t="n">
        <f aca="false">C9-B9</f>
        <v>-0.0100000000093132</v>
      </c>
    </row>
    <row r="11" customFormat="false" ht="15" hidden="false" customHeight="false" outlineLevel="0" collapsed="false">
      <c r="A11" s="7" t="s">
        <v>11</v>
      </c>
    </row>
    <row r="12" customFormat="false" ht="43.5" hidden="false" customHeight="true" outlineLevel="0" collapsed="false">
      <c r="A12" s="8" t="s">
        <v>12</v>
      </c>
      <c r="B12" s="8"/>
      <c r="C12" s="8"/>
      <c r="D12" s="8"/>
    </row>
    <row r="13" customFormat="false" ht="43.5" hidden="false" customHeight="true" outlineLevel="0" collapsed="false">
      <c r="A13" s="8" t="s">
        <v>13</v>
      </c>
      <c r="B13" s="8"/>
      <c r="C13" s="8"/>
      <c r="D13" s="8"/>
    </row>
    <row r="14" customFormat="false" ht="43.5" hidden="false" customHeight="true" outlineLevel="0" collapsed="false">
      <c r="A14" s="8" t="s">
        <v>14</v>
      </c>
      <c r="B14" s="8"/>
      <c r="C14" s="8"/>
      <c r="D14" s="8"/>
    </row>
    <row r="15" customFormat="false" ht="43.5" hidden="false" customHeight="true" outlineLevel="0" collapsed="false">
      <c r="A15" s="8" t="s">
        <v>15</v>
      </c>
      <c r="B15" s="8"/>
      <c r="C15" s="8"/>
      <c r="D15" s="8"/>
    </row>
    <row r="16" customFormat="false" ht="43.5" hidden="false" customHeight="true" outlineLevel="0" collapsed="false">
      <c r="A16" s="8" t="s">
        <v>16</v>
      </c>
      <c r="B16" s="8"/>
      <c r="C16" s="8"/>
      <c r="D16" s="8"/>
    </row>
    <row r="17" customFormat="false" ht="43.5" hidden="false" customHeight="true" outlineLevel="0" collapsed="false">
      <c r="A17" s="8" t="s">
        <v>17</v>
      </c>
      <c r="B17" s="8"/>
      <c r="C17" s="8"/>
      <c r="D17" s="8"/>
    </row>
  </sheetData>
  <mergeCells count="6"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7" t="s">
        <v>20</v>
      </c>
    </row>
    <row r="4" customFormat="false" ht="23.8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</row>
    <row r="5" customFormat="false" ht="15" hidden="false" customHeight="false" outlineLevel="0" collapsed="false">
      <c r="A5" s="4" t="s">
        <v>35</v>
      </c>
      <c r="B5" s="9" t="n">
        <v>28378.53</v>
      </c>
      <c r="C5" s="9" t="n">
        <v>28593.14</v>
      </c>
      <c r="D5" s="9" t="n">
        <v>27448.48</v>
      </c>
      <c r="E5" s="9" t="n">
        <v>24586.86</v>
      </c>
      <c r="F5" s="9" t="n">
        <v>28020.56</v>
      </c>
      <c r="G5" s="9" t="n">
        <v>27374.69</v>
      </c>
      <c r="H5" s="9" t="n">
        <v>27854.18</v>
      </c>
      <c r="I5" s="9" t="n">
        <v>27042.11</v>
      </c>
      <c r="J5" s="9" t="n">
        <v>27614.43</v>
      </c>
      <c r="K5" s="9" t="n">
        <v>27757.52</v>
      </c>
      <c r="L5" s="9" t="n">
        <v>28186.76</v>
      </c>
      <c r="M5" s="9" t="n">
        <v>27614.43</v>
      </c>
      <c r="N5" s="10" t="n">
        <f aca="false">SUM(B5:M5)</f>
        <v>330471.69</v>
      </c>
    </row>
    <row r="6" customFormat="false" ht="15" hidden="false" customHeight="false" outlineLevel="0" collapsed="false">
      <c r="A6" s="4" t="s">
        <v>36</v>
      </c>
      <c r="B6" s="9" t="n">
        <v>69854.87</v>
      </c>
      <c r="C6" s="9" t="n">
        <v>75336.41</v>
      </c>
      <c r="D6" s="9" t="n">
        <v>63002.95</v>
      </c>
      <c r="E6" s="9" t="n">
        <v>43817.57</v>
      </c>
      <c r="F6" s="9" t="n">
        <v>33539.44</v>
      </c>
      <c r="G6" s="9" t="n">
        <v>36165.17</v>
      </c>
      <c r="H6" s="9" t="n">
        <v>45221.52</v>
      </c>
      <c r="I6" s="9" t="n">
        <v>49797.1</v>
      </c>
      <c r="J6" s="9" t="n">
        <v>78493.18</v>
      </c>
      <c r="K6" s="9" t="n">
        <v>49269.45</v>
      </c>
      <c r="L6" s="9" t="n">
        <v>81975.97</v>
      </c>
      <c r="M6" s="9" t="n">
        <v>76815.03</v>
      </c>
      <c r="N6" s="10" t="n">
        <f aca="false">SUM(B6:M6)</f>
        <v>703288.66</v>
      </c>
    </row>
    <row r="7" customFormat="false" ht="15" hidden="false" customHeight="false" outlineLevel="0" collapsed="false">
      <c r="A7" s="4" t="s">
        <v>37</v>
      </c>
      <c r="B7" s="9" t="n">
        <v>8006.3</v>
      </c>
      <c r="C7" s="9" t="n">
        <v>8880.18</v>
      </c>
      <c r="D7" s="9" t="n">
        <v>9021.55</v>
      </c>
      <c r="E7" s="9" t="n">
        <v>7009.85</v>
      </c>
      <c r="F7" s="9" t="n">
        <v>8049.47</v>
      </c>
      <c r="G7" s="9" t="n">
        <v>8093.54</v>
      </c>
      <c r="H7" s="9" t="n">
        <v>8586.56</v>
      </c>
      <c r="I7" s="9" t="n">
        <v>8741.12</v>
      </c>
      <c r="J7" s="9" t="n">
        <v>5923.62</v>
      </c>
      <c r="K7" s="9" t="n">
        <v>6671.73</v>
      </c>
      <c r="L7" s="9" t="n">
        <v>9591.95</v>
      </c>
      <c r="M7" s="9" t="n">
        <v>6474.32</v>
      </c>
      <c r="N7" s="10" t="n">
        <f aca="false">SUM(B7:M7)</f>
        <v>95050.19</v>
      </c>
    </row>
    <row r="8" customFormat="false" ht="15" hidden="false" customHeight="false" outlineLevel="0" collapsed="false">
      <c r="A8" s="4" t="s">
        <v>38</v>
      </c>
      <c r="B8" s="9" t="n">
        <v>59738.55</v>
      </c>
      <c r="C8" s="9" t="n">
        <v>59738.55</v>
      </c>
      <c r="D8" s="9" t="n">
        <v>59738.54</v>
      </c>
      <c r="E8" s="9" t="n">
        <v>59738.55</v>
      </c>
      <c r="F8" s="9" t="n">
        <v>59738.13</v>
      </c>
      <c r="G8" s="9" t="n">
        <v>62047.95</v>
      </c>
      <c r="H8" s="9" t="n">
        <v>76722.11</v>
      </c>
      <c r="I8" s="9" t="n">
        <v>61510.04</v>
      </c>
      <c r="J8" s="9" t="n">
        <v>61510.03</v>
      </c>
      <c r="K8" s="9" t="n">
        <v>61514.42</v>
      </c>
      <c r="L8" s="9" t="n">
        <v>61514.42</v>
      </c>
      <c r="M8" s="9" t="n">
        <v>77264.42</v>
      </c>
      <c r="N8" s="10" t="n">
        <f aca="false">SUM(B8:M8)</f>
        <v>760775.71</v>
      </c>
    </row>
    <row r="9" customFormat="false" ht="15" hidden="false" customHeight="false" outlineLevel="0" collapsed="false">
      <c r="A9" s="4" t="s">
        <v>39</v>
      </c>
      <c r="B9" s="9" t="n">
        <v>13592.7</v>
      </c>
      <c r="C9" s="9" t="n">
        <v>15321.88</v>
      </c>
      <c r="D9" s="9" t="n">
        <v>14355.06</v>
      </c>
      <c r="E9" s="9" t="n">
        <v>13724.64</v>
      </c>
      <c r="F9" s="9" t="n">
        <v>15232.48</v>
      </c>
      <c r="G9" s="9" t="n">
        <v>13768.75</v>
      </c>
      <c r="H9" s="9" t="n">
        <v>10659.32</v>
      </c>
      <c r="I9" s="9" t="n">
        <v>12210.61</v>
      </c>
      <c r="J9" s="9" t="n">
        <v>14177.12</v>
      </c>
      <c r="K9" s="9" t="n">
        <v>16571.64</v>
      </c>
      <c r="L9" s="9" t="n">
        <v>15799.52</v>
      </c>
      <c r="M9" s="9" t="n">
        <v>14412.11</v>
      </c>
      <c r="N9" s="10" t="n">
        <f aca="false">SUM(B9:M9)</f>
        <v>169825.83</v>
      </c>
    </row>
    <row r="10" customFormat="false" ht="15" hidden="false" customHeight="false" outlineLevel="0" collapsed="false">
      <c r="A10" s="4" t="s">
        <v>40</v>
      </c>
      <c r="B10" s="9" t="n">
        <v>55876.43</v>
      </c>
      <c r="C10" s="9" t="n">
        <v>55795.44</v>
      </c>
      <c r="D10" s="9" t="n">
        <v>55548.29</v>
      </c>
      <c r="E10" s="9" t="n">
        <v>28893.9</v>
      </c>
      <c r="F10" s="9" t="n">
        <v>14407.28</v>
      </c>
      <c r="G10" s="9" t="n">
        <v>58893.14</v>
      </c>
      <c r="H10" s="9" t="n">
        <v>14073.14</v>
      </c>
      <c r="I10" s="9" t="n">
        <v>15744.31</v>
      </c>
      <c r="J10" s="9" t="n">
        <v>27972.46</v>
      </c>
      <c r="K10" s="9" t="n">
        <v>15038.71</v>
      </c>
      <c r="L10" s="9" t="n">
        <v>15038.7</v>
      </c>
      <c r="M10" s="9" t="n">
        <v>25883.92</v>
      </c>
      <c r="N10" s="10" t="n">
        <f aca="false">SUM(B10:M10)</f>
        <v>383165.72</v>
      </c>
    </row>
    <row r="11" customFormat="false" ht="15" hidden="false" customHeight="false" outlineLevel="0" collapsed="false">
      <c r="A11" s="4" t="s">
        <v>41</v>
      </c>
      <c r="B11" s="9" t="n">
        <v>9697.2</v>
      </c>
      <c r="C11" s="9" t="n">
        <v>9697.2</v>
      </c>
      <c r="D11" s="9" t="n">
        <v>9697.2</v>
      </c>
      <c r="E11" s="9" t="n">
        <v>9697.21</v>
      </c>
      <c r="F11" s="9" t="n">
        <v>9697.02</v>
      </c>
      <c r="G11" s="9" t="n">
        <v>12782.4</v>
      </c>
      <c r="H11" s="9" t="n">
        <v>12328.23</v>
      </c>
      <c r="I11" s="9" t="n">
        <v>12555.32</v>
      </c>
      <c r="J11" s="9" t="n">
        <v>12555.32</v>
      </c>
      <c r="K11" s="9" t="n">
        <v>12561.1</v>
      </c>
      <c r="L11" s="9" t="n">
        <v>12561.09</v>
      </c>
      <c r="M11" s="9" t="n">
        <v>12561.1</v>
      </c>
      <c r="N11" s="10" t="n">
        <f aca="false">SUM(B11:M11)</f>
        <v>136390.39</v>
      </c>
    </row>
    <row r="12" customFormat="false" ht="15" hidden="false" customHeight="false" outlineLevel="0" collapsed="false">
      <c r="A12" s="4" t="s">
        <v>42</v>
      </c>
      <c r="B12" s="9" t="n">
        <v>9604.72</v>
      </c>
      <c r="C12" s="9" t="n">
        <v>9775.02</v>
      </c>
      <c r="D12" s="9" t="n">
        <v>9264.15</v>
      </c>
      <c r="E12" s="9" t="n">
        <v>10320.08</v>
      </c>
      <c r="F12" s="9" t="n">
        <v>10079.34</v>
      </c>
      <c r="G12" s="9" t="n">
        <v>8644.16</v>
      </c>
      <c r="H12" s="9" t="n">
        <v>7749.93</v>
      </c>
      <c r="I12" s="9" t="n">
        <v>10387.75</v>
      </c>
      <c r="J12" s="9" t="n">
        <v>9594.49</v>
      </c>
      <c r="K12" s="9" t="n">
        <v>7654.17</v>
      </c>
      <c r="L12" s="9" t="n">
        <v>10068.59</v>
      </c>
      <c r="M12" s="9" t="n">
        <v>8237.68</v>
      </c>
      <c r="N12" s="10" t="n">
        <f aca="false">SUM(B12:M12)</f>
        <v>111380.08</v>
      </c>
    </row>
    <row r="13" customFormat="false" ht="15" hidden="false" customHeight="false" outlineLevel="0" collapsed="false">
      <c r="A13" s="4" t="s">
        <v>43</v>
      </c>
      <c r="B13" s="9" t="n">
        <v>20302.54</v>
      </c>
      <c r="C13" s="9" t="n">
        <v>19507.27</v>
      </c>
      <c r="D13" s="9" t="n">
        <v>19756.54</v>
      </c>
      <c r="E13" s="9" t="n">
        <v>18569.57</v>
      </c>
      <c r="F13" s="9" t="n">
        <v>18664.31</v>
      </c>
      <c r="G13" s="9" t="n">
        <v>20952.9</v>
      </c>
      <c r="H13" s="9" t="n">
        <v>19746.79</v>
      </c>
      <c r="I13" s="9" t="n">
        <v>18203.47</v>
      </c>
      <c r="J13" s="9" t="n">
        <v>19985.49</v>
      </c>
      <c r="K13" s="9" t="n">
        <v>20207.16</v>
      </c>
      <c r="L13" s="9" t="n">
        <v>20648.13</v>
      </c>
      <c r="M13" s="9" t="n">
        <v>20305.15</v>
      </c>
      <c r="N13" s="10" t="n">
        <f aca="false">SUM(B13:M13)</f>
        <v>236849.32</v>
      </c>
    </row>
    <row r="14" customFormat="false" ht="15" hidden="false" customHeight="false" outlineLevel="0" collapsed="false">
      <c r="A14" s="4" t="s">
        <v>44</v>
      </c>
      <c r="B14" s="9" t="n">
        <v>9588.23</v>
      </c>
      <c r="C14" s="9" t="n">
        <v>9588.23</v>
      </c>
      <c r="D14" s="9" t="n">
        <v>9588.24</v>
      </c>
      <c r="E14" s="9" t="n">
        <v>9588.23</v>
      </c>
      <c r="F14" s="9" t="n">
        <v>9588.06</v>
      </c>
      <c r="G14" s="9" t="n">
        <v>12502.8</v>
      </c>
      <c r="H14" s="9" t="n">
        <v>12048.62</v>
      </c>
      <c r="I14" s="9" t="n">
        <v>12275.72</v>
      </c>
      <c r="J14" s="9" t="n">
        <v>15378.91</v>
      </c>
      <c r="K14" s="9" t="n">
        <v>15386.12</v>
      </c>
      <c r="L14" s="9" t="n">
        <v>15386.12</v>
      </c>
      <c r="M14" s="9" t="n">
        <v>15445.92</v>
      </c>
      <c r="N14" s="10" t="n">
        <f aca="false">SUM(B14:M14)</f>
        <v>146365.2</v>
      </c>
    </row>
    <row r="15" customFormat="false" ht="15" hidden="false" customHeight="false" outlineLevel="0" collapsed="false">
      <c r="A15" s="4" t="s">
        <v>45</v>
      </c>
      <c r="B15" s="9" t="n">
        <v>30371.76</v>
      </c>
      <c r="C15" s="9" t="n">
        <v>27119.72</v>
      </c>
      <c r="D15" s="9" t="n">
        <v>25434.73</v>
      </c>
      <c r="E15" s="9" t="n">
        <v>31382.76</v>
      </c>
      <c r="F15" s="9" t="n">
        <v>28366.36</v>
      </c>
      <c r="G15" s="9" t="n">
        <v>34783.42</v>
      </c>
      <c r="H15" s="9" t="n">
        <v>37962.66</v>
      </c>
      <c r="I15" s="9" t="n">
        <v>42036.12</v>
      </c>
      <c r="J15" s="9" t="n">
        <v>35914.67</v>
      </c>
      <c r="K15" s="9" t="n">
        <v>38781.07</v>
      </c>
      <c r="L15" s="9" t="n">
        <v>39558.39</v>
      </c>
      <c r="M15" s="9" t="n">
        <v>32853.95</v>
      </c>
      <c r="N15" s="10" t="n">
        <f aca="false">SUM(B15:M15)</f>
        <v>404565.61</v>
      </c>
    </row>
    <row r="16" customFormat="false" ht="15" hidden="false" customHeight="false" outlineLevel="0" collapsed="false">
      <c r="A16" s="11" t="s">
        <v>46</v>
      </c>
      <c r="B16" s="12" t="n">
        <f aca="false">SUM(B5:B15)</f>
        <v>315011.83</v>
      </c>
      <c r="C16" s="12" t="n">
        <f aca="false">SUM(C5:C15)</f>
        <v>319353.04</v>
      </c>
      <c r="D16" s="12" t="n">
        <f aca="false">SUM(D5:D15)</f>
        <v>302855.73</v>
      </c>
      <c r="E16" s="12" t="n">
        <f aca="false">SUM(E5:E15)</f>
        <v>257329.22</v>
      </c>
      <c r="F16" s="12" t="n">
        <f aca="false">SUM(F5:F15)</f>
        <v>235382.45</v>
      </c>
      <c r="G16" s="12" t="n">
        <f aca="false">SUM(G5:G15)</f>
        <v>296008.92</v>
      </c>
      <c r="H16" s="12" t="n">
        <f aca="false">SUM(H5:H15)</f>
        <v>272953.06</v>
      </c>
      <c r="I16" s="12" t="n">
        <f aca="false">SUM(I5:I15)</f>
        <v>270503.67</v>
      </c>
      <c r="J16" s="12" t="n">
        <f aca="false">SUM(J5:J15)</f>
        <v>309119.72</v>
      </c>
      <c r="K16" s="12" t="n">
        <f aca="false">SUM(K5:K15)</f>
        <v>271413.09</v>
      </c>
      <c r="L16" s="12" t="n">
        <f aca="false">SUM(L5:L15)</f>
        <v>310329.64</v>
      </c>
      <c r="M16" s="12" t="n">
        <f aca="false">SUM(M5:M15)</f>
        <v>317868.03</v>
      </c>
      <c r="N16" s="12" t="n">
        <f aca="false">SUM(N5:N15)</f>
        <v>3478128.4</v>
      </c>
    </row>
    <row r="18" customFormat="false" ht="15" hidden="false" customHeight="false" outlineLevel="0" collapsed="false">
      <c r="A18" s="7" t="s">
        <v>47</v>
      </c>
    </row>
    <row r="19" customFormat="false" ht="23.85" hidden="false" customHeight="false" outlineLevel="0" collapsed="false">
      <c r="A19" s="3" t="s">
        <v>21</v>
      </c>
      <c r="B19" s="3" t="s">
        <v>22</v>
      </c>
      <c r="C19" s="3" t="s">
        <v>23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 t="s">
        <v>29</v>
      </c>
      <c r="J19" s="3" t="s">
        <v>30</v>
      </c>
      <c r="K19" s="3" t="s">
        <v>31</v>
      </c>
      <c r="L19" s="3" t="s">
        <v>32</v>
      </c>
      <c r="M19" s="3" t="s">
        <v>33</v>
      </c>
      <c r="N19" s="3" t="s">
        <v>34</v>
      </c>
    </row>
    <row r="20" customFormat="false" ht="15" hidden="false" customHeight="false" outlineLevel="0" collapsed="false">
      <c r="A20" s="4" t="s">
        <v>35</v>
      </c>
      <c r="B20" s="9" t="n">
        <v>28378.53</v>
      </c>
      <c r="C20" s="9" t="n">
        <v>28593.13</v>
      </c>
      <c r="D20" s="9" t="n">
        <v>27448.46</v>
      </c>
      <c r="E20" s="9" t="n">
        <v>24586.84</v>
      </c>
      <c r="F20" s="9" t="n">
        <v>28020.79</v>
      </c>
      <c r="G20" s="9" t="n">
        <v>27042.08</v>
      </c>
      <c r="H20" s="9" t="n">
        <v>28186.74</v>
      </c>
      <c r="I20" s="9" t="n">
        <v>27042.09</v>
      </c>
      <c r="J20" s="9" t="n">
        <v>27614.41</v>
      </c>
      <c r="K20" s="9" t="n">
        <v>27757.5</v>
      </c>
      <c r="L20" s="9" t="n">
        <v>28186.73</v>
      </c>
      <c r="M20" s="9" t="n">
        <v>27614.42</v>
      </c>
      <c r="N20" s="10" t="n">
        <f aca="false">SUM(B20:M20)</f>
        <v>330471.72</v>
      </c>
    </row>
    <row r="21" customFormat="false" ht="15" hidden="false" customHeight="false" outlineLevel="0" collapsed="false">
      <c r="A21" s="4" t="s">
        <v>36</v>
      </c>
      <c r="B21" s="9" t="n">
        <v>69854.87</v>
      </c>
      <c r="C21" s="9" t="n">
        <v>75336.39</v>
      </c>
      <c r="D21" s="9" t="n">
        <v>63002.97</v>
      </c>
      <c r="E21" s="9" t="n">
        <v>43817.51</v>
      </c>
      <c r="F21" s="9" t="n">
        <v>33539.68</v>
      </c>
      <c r="G21" s="9" t="n">
        <v>35832.57</v>
      </c>
      <c r="H21" s="9" t="n">
        <v>45554.07</v>
      </c>
      <c r="I21" s="9" t="n">
        <v>49797.09</v>
      </c>
      <c r="J21" s="9" t="n">
        <v>78493.15</v>
      </c>
      <c r="K21" s="9" t="n">
        <v>49269.43</v>
      </c>
      <c r="L21" s="9" t="n">
        <v>81975.94</v>
      </c>
      <c r="M21" s="9" t="n">
        <v>76814.86</v>
      </c>
      <c r="N21" s="10" t="n">
        <f aca="false">SUM(B21:M21)</f>
        <v>703288.53</v>
      </c>
    </row>
    <row r="22" customFormat="false" ht="15" hidden="false" customHeight="false" outlineLevel="0" collapsed="false">
      <c r="A22" s="4" t="s">
        <v>37</v>
      </c>
      <c r="B22" s="9" t="n">
        <v>8006.3</v>
      </c>
      <c r="C22" s="9" t="n">
        <v>8880.18</v>
      </c>
      <c r="D22" s="9" t="n">
        <v>9021.54</v>
      </c>
      <c r="E22" s="9" t="n">
        <v>6936.47</v>
      </c>
      <c r="F22" s="9" t="n">
        <v>8122.88</v>
      </c>
      <c r="G22" s="9" t="n">
        <v>7938.95</v>
      </c>
      <c r="H22" s="9" t="n">
        <v>8741.12</v>
      </c>
      <c r="I22" s="9" t="n">
        <v>8741.13</v>
      </c>
      <c r="J22" s="9" t="n">
        <v>5923.61</v>
      </c>
      <c r="K22" s="9" t="n">
        <v>6671.73</v>
      </c>
      <c r="L22" s="9" t="n">
        <v>9507.18</v>
      </c>
      <c r="M22" s="9" t="n">
        <v>6474.32</v>
      </c>
      <c r="N22" s="10" t="n">
        <f aca="false">SUM(B22:M22)</f>
        <v>94965.41</v>
      </c>
    </row>
    <row r="23" customFormat="false" ht="15" hidden="false" customHeight="false" outlineLevel="0" collapsed="false">
      <c r="A23" s="4" t="s">
        <v>38</v>
      </c>
      <c r="B23" s="9" t="n">
        <v>59738.55</v>
      </c>
      <c r="C23" s="9" t="n">
        <v>59738.51</v>
      </c>
      <c r="D23" s="9" t="n">
        <v>59738.52</v>
      </c>
      <c r="E23" s="9" t="n">
        <v>59738.51</v>
      </c>
      <c r="F23" s="9" t="n">
        <v>59738.51</v>
      </c>
      <c r="G23" s="9" t="n">
        <v>61510</v>
      </c>
      <c r="H23" s="9" t="n">
        <v>77259.99</v>
      </c>
      <c r="I23" s="9" t="n">
        <v>61510</v>
      </c>
      <c r="J23" s="9" t="n">
        <v>61510</v>
      </c>
      <c r="K23" s="9" t="n">
        <v>61514.38</v>
      </c>
      <c r="L23" s="9" t="n">
        <v>61514.38</v>
      </c>
      <c r="M23" s="9" t="n">
        <v>77264.39</v>
      </c>
      <c r="N23" s="10" t="n">
        <f aca="false">SUM(B23:M23)</f>
        <v>760775.74</v>
      </c>
    </row>
    <row r="24" customFormat="false" ht="15" hidden="false" customHeight="false" outlineLevel="0" collapsed="false">
      <c r="A24" s="4" t="s">
        <v>39</v>
      </c>
      <c r="B24" s="9" t="n">
        <v>13592.7</v>
      </c>
      <c r="C24" s="9" t="n">
        <v>15321.85</v>
      </c>
      <c r="D24" s="9" t="n">
        <v>14355.05</v>
      </c>
      <c r="E24" s="9" t="n">
        <v>13724.62</v>
      </c>
      <c r="F24" s="9" t="n">
        <v>15232.67</v>
      </c>
      <c r="G24" s="9" t="n">
        <v>13520.42</v>
      </c>
      <c r="H24" s="9" t="n">
        <v>10907.62</v>
      </c>
      <c r="I24" s="9" t="n">
        <v>12210.59</v>
      </c>
      <c r="J24" s="9" t="n">
        <v>14177.11</v>
      </c>
      <c r="K24" s="9" t="n">
        <v>16571.63</v>
      </c>
      <c r="L24" s="9" t="n">
        <v>15799.5</v>
      </c>
      <c r="M24" s="9" t="n">
        <v>14412.09</v>
      </c>
      <c r="N24" s="10" t="n">
        <f aca="false">SUM(B24:M24)</f>
        <v>169825.85</v>
      </c>
    </row>
    <row r="25" customFormat="false" ht="15" hidden="false" customHeight="false" outlineLevel="0" collapsed="false">
      <c r="A25" s="4" t="s">
        <v>40</v>
      </c>
      <c r="B25" s="9" t="n">
        <v>55876.43</v>
      </c>
      <c r="C25" s="9" t="n">
        <v>55795.4</v>
      </c>
      <c r="D25" s="9" t="n">
        <v>55548.26</v>
      </c>
      <c r="E25" s="9" t="n">
        <v>28893.86</v>
      </c>
      <c r="F25" s="9" t="n">
        <v>14407.38</v>
      </c>
      <c r="G25" s="9" t="n">
        <v>58343.19</v>
      </c>
      <c r="H25" s="9" t="n">
        <v>14623.04</v>
      </c>
      <c r="I25" s="9" t="n">
        <v>15744.3</v>
      </c>
      <c r="J25" s="9" t="n">
        <v>27972.43</v>
      </c>
      <c r="K25" s="9" t="n">
        <v>15038.69</v>
      </c>
      <c r="L25" s="9" t="n">
        <v>15038.68</v>
      </c>
      <c r="M25" s="9" t="n">
        <v>25883.9</v>
      </c>
      <c r="N25" s="10" t="n">
        <f aca="false">SUM(B25:M25)</f>
        <v>383165.56</v>
      </c>
    </row>
    <row r="26" customFormat="false" ht="15" hidden="false" customHeight="false" outlineLevel="0" collapsed="false">
      <c r="A26" s="4" t="s">
        <v>41</v>
      </c>
      <c r="B26" s="9" t="n">
        <v>9697.2</v>
      </c>
      <c r="C26" s="9" t="n">
        <v>9697.19</v>
      </c>
      <c r="D26" s="9" t="n">
        <v>9697.18</v>
      </c>
      <c r="E26" s="9" t="n">
        <v>9697.19</v>
      </c>
      <c r="F26" s="9" t="n">
        <v>9697.18</v>
      </c>
      <c r="G26" s="9" t="n">
        <v>12555.3</v>
      </c>
      <c r="H26" s="9" t="n">
        <v>12555.3</v>
      </c>
      <c r="I26" s="9" t="n">
        <v>12555.31</v>
      </c>
      <c r="J26" s="9" t="n">
        <v>12555.3</v>
      </c>
      <c r="K26" s="9" t="n">
        <v>12561.08</v>
      </c>
      <c r="L26" s="9" t="n">
        <v>12561.09</v>
      </c>
      <c r="M26" s="9" t="n">
        <v>12561.08</v>
      </c>
      <c r="N26" s="10" t="n">
        <f aca="false">SUM(B26:M26)</f>
        <v>136390.4</v>
      </c>
    </row>
    <row r="27" customFormat="false" ht="15" hidden="false" customHeight="false" outlineLevel="0" collapsed="false">
      <c r="A27" s="4" t="s">
        <v>42</v>
      </c>
      <c r="B27" s="9" t="n">
        <v>9604.72</v>
      </c>
      <c r="C27" s="9" t="n">
        <v>9775</v>
      </c>
      <c r="D27" s="9" t="n">
        <v>9264.15</v>
      </c>
      <c r="E27" s="9" t="n">
        <v>10320.02</v>
      </c>
      <c r="F27" s="9" t="n">
        <v>10079.5</v>
      </c>
      <c r="G27" s="9" t="n">
        <v>8489.56</v>
      </c>
      <c r="H27" s="9" t="n">
        <v>7904.51</v>
      </c>
      <c r="I27" s="9" t="n">
        <v>10387.73</v>
      </c>
      <c r="J27" s="9" t="n">
        <v>9594.47</v>
      </c>
      <c r="K27" s="9" t="n">
        <v>7654.18</v>
      </c>
      <c r="L27" s="9" t="n">
        <v>10068.54</v>
      </c>
      <c r="M27" s="9" t="n">
        <v>8237.71</v>
      </c>
      <c r="N27" s="10" t="n">
        <f aca="false">SUM(B27:M27)</f>
        <v>111380.09</v>
      </c>
    </row>
    <row r="28" customFormat="false" ht="15" hidden="false" customHeight="false" outlineLevel="0" collapsed="false">
      <c r="A28" s="4" t="s">
        <v>43</v>
      </c>
      <c r="B28" s="9" t="n">
        <v>20302.54</v>
      </c>
      <c r="C28" s="9" t="n">
        <v>19507.26</v>
      </c>
      <c r="D28" s="9" t="n">
        <v>19756.57</v>
      </c>
      <c r="E28" s="9" t="n">
        <v>18569.5</v>
      </c>
      <c r="F28" s="9" t="n">
        <v>18664.51</v>
      </c>
      <c r="G28" s="9" t="n">
        <v>20620.29</v>
      </c>
      <c r="H28" s="9" t="n">
        <v>20079.36</v>
      </c>
      <c r="I28" s="9" t="n">
        <v>18203.45</v>
      </c>
      <c r="J28" s="9" t="n">
        <v>19985.47</v>
      </c>
      <c r="K28" s="9" t="n">
        <v>20207.15</v>
      </c>
      <c r="L28" s="9" t="n">
        <v>20648.1</v>
      </c>
      <c r="M28" s="9" t="n">
        <v>20305.14</v>
      </c>
      <c r="N28" s="10" t="n">
        <f aca="false">SUM(B28:M28)</f>
        <v>236849.34</v>
      </c>
    </row>
    <row r="29" customFormat="false" ht="15" hidden="false" customHeight="false" outlineLevel="0" collapsed="false">
      <c r="A29" s="4" t="s">
        <v>44</v>
      </c>
      <c r="B29" s="9" t="n">
        <v>9588.23</v>
      </c>
      <c r="C29" s="9" t="n">
        <v>9588.22</v>
      </c>
      <c r="D29" s="9" t="n">
        <v>9588.22</v>
      </c>
      <c r="E29" s="9" t="n">
        <v>9588.22</v>
      </c>
      <c r="F29" s="9" t="n">
        <v>9588.22</v>
      </c>
      <c r="G29" s="9" t="n">
        <v>12275.7</v>
      </c>
      <c r="H29" s="9" t="n">
        <v>12275.69</v>
      </c>
      <c r="I29" s="9" t="n">
        <v>12275.7</v>
      </c>
      <c r="J29" s="9" t="n">
        <v>15378.9</v>
      </c>
      <c r="K29" s="9" t="n">
        <v>15386.1</v>
      </c>
      <c r="L29" s="9" t="n">
        <v>15386.11</v>
      </c>
      <c r="M29" s="9" t="n">
        <v>15445.87</v>
      </c>
      <c r="N29" s="10" t="n">
        <f aca="false">SUM(B29:M29)</f>
        <v>146365.18</v>
      </c>
    </row>
    <row r="30" customFormat="false" ht="15" hidden="false" customHeight="false" outlineLevel="0" collapsed="false">
      <c r="A30" s="4" t="s">
        <v>45</v>
      </c>
      <c r="B30" s="9" t="n">
        <v>30371.76</v>
      </c>
      <c r="C30" s="9" t="n">
        <v>27119.69</v>
      </c>
      <c r="D30" s="9" t="n">
        <v>25434.7</v>
      </c>
      <c r="E30" s="9" t="n">
        <v>31382.75</v>
      </c>
      <c r="F30" s="9" t="n">
        <v>28366.59</v>
      </c>
      <c r="G30" s="9" t="n">
        <v>34450.82</v>
      </c>
      <c r="H30" s="9" t="n">
        <v>38295.21</v>
      </c>
      <c r="I30" s="9" t="n">
        <v>42036.1</v>
      </c>
      <c r="J30" s="9" t="n">
        <v>35914.65</v>
      </c>
      <c r="K30" s="9" t="n">
        <v>38781.05</v>
      </c>
      <c r="L30" s="9" t="n">
        <v>39558.37</v>
      </c>
      <c r="M30" s="9" t="n">
        <v>32853.93</v>
      </c>
      <c r="N30" s="10" t="n">
        <f aca="false">SUM(B30:M30)</f>
        <v>404565.62</v>
      </c>
    </row>
    <row r="31" customFormat="false" ht="15" hidden="false" customHeight="false" outlineLevel="0" collapsed="false">
      <c r="A31" s="11" t="s">
        <v>46</v>
      </c>
      <c r="B31" s="12" t="n">
        <f aca="false">SUM(B20:B30)</f>
        <v>315011.83</v>
      </c>
      <c r="C31" s="12" t="n">
        <f aca="false">SUM(C20:C30)</f>
        <v>319352.82</v>
      </c>
      <c r="D31" s="12" t="n">
        <f aca="false">SUM(D20:D30)</f>
        <v>302855.62</v>
      </c>
      <c r="E31" s="12" t="n">
        <f aca="false">SUM(E20:E30)</f>
        <v>257255.49</v>
      </c>
      <c r="F31" s="12" t="n">
        <f aca="false">SUM(F20:F30)</f>
        <v>235457.91</v>
      </c>
      <c r="G31" s="12" t="n">
        <f aca="false">SUM(G20:G30)</f>
        <v>292578.88</v>
      </c>
      <c r="H31" s="12" t="n">
        <f aca="false">SUM(H20:H30)</f>
        <v>276382.65</v>
      </c>
      <c r="I31" s="12" t="n">
        <f aca="false">SUM(I20:I30)</f>
        <v>270503.49</v>
      </c>
      <c r="J31" s="12" t="n">
        <f aca="false">SUM(J20:J30)</f>
        <v>309119.5</v>
      </c>
      <c r="K31" s="12" t="n">
        <f aca="false">SUM(K20:K30)</f>
        <v>271412.92</v>
      </c>
      <c r="L31" s="12" t="n">
        <f aca="false">SUM(L20:L30)</f>
        <v>310244.62</v>
      </c>
      <c r="M31" s="12" t="n">
        <f aca="false">SUM(M20:M30)</f>
        <v>317867.71</v>
      </c>
      <c r="N31" s="12" t="n">
        <f aca="false">SUM(N20:N30)</f>
        <v>3478043.44</v>
      </c>
    </row>
    <row r="33" customFormat="false" ht="15" hidden="false" customHeight="false" outlineLevel="0" collapsed="false">
      <c r="A33" s="7" t="s">
        <v>48</v>
      </c>
    </row>
    <row r="34" customFormat="false" ht="23.85" hidden="false" customHeight="false" outlineLevel="0" collapsed="false">
      <c r="A34" s="3" t="s">
        <v>21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 t="s">
        <v>29</v>
      </c>
      <c r="J34" s="3" t="s">
        <v>30</v>
      </c>
      <c r="K34" s="3" t="s">
        <v>31</v>
      </c>
      <c r="L34" s="3" t="s">
        <v>32</v>
      </c>
      <c r="M34" s="3" t="s">
        <v>33</v>
      </c>
      <c r="N34" s="3" t="s">
        <v>34</v>
      </c>
    </row>
    <row r="35" customFormat="false" ht="15" hidden="false" customHeight="false" outlineLevel="0" collapsed="false">
      <c r="A35" s="4" t="s">
        <v>35</v>
      </c>
      <c r="B35" s="6" t="n">
        <f aca="false">B20-B5</f>
        <v>0</v>
      </c>
      <c r="C35" s="6" t="n">
        <f aca="false">C20-C5</f>
        <v>-0.00999999999839929</v>
      </c>
      <c r="D35" s="6" t="n">
        <f aca="false">D20-D5</f>
        <v>-0.0200000000004366</v>
      </c>
      <c r="E35" s="6" t="n">
        <f aca="false">E20-E5</f>
        <v>-0.0200000000004366</v>
      </c>
      <c r="F35" s="6" t="n">
        <f aca="false">F20-F5</f>
        <v>0.229999999999563</v>
      </c>
      <c r="G35" s="6" t="n">
        <f aca="false">G20-G5</f>
        <v>-332.609999999997</v>
      </c>
      <c r="H35" s="6" t="n">
        <f aca="false">H20-H5</f>
        <v>332.560000000001</v>
      </c>
      <c r="I35" s="6" t="n">
        <f aca="false">I20-I5</f>
        <v>-0.0200000000004366</v>
      </c>
      <c r="J35" s="6" t="n">
        <f aca="false">J20-J5</f>
        <v>-0.0200000000004366</v>
      </c>
      <c r="K35" s="6" t="n">
        <f aca="false">K20-K5</f>
        <v>-0.0200000000004366</v>
      </c>
      <c r="L35" s="6" t="n">
        <f aca="false">L20-L5</f>
        <v>-0.0299999999988358</v>
      </c>
      <c r="M35" s="6" t="n">
        <f aca="false">M20-M5</f>
        <v>-0.0100000000020373</v>
      </c>
      <c r="N35" s="10" t="n">
        <f aca="false">SUM(B35:M35)</f>
        <v>0.0300000000024738</v>
      </c>
    </row>
    <row r="36" customFormat="false" ht="15" hidden="false" customHeight="false" outlineLevel="0" collapsed="false">
      <c r="A36" s="4" t="s">
        <v>36</v>
      </c>
      <c r="B36" s="6" t="n">
        <f aca="false">B21-B6</f>
        <v>0</v>
      </c>
      <c r="C36" s="6" t="n">
        <f aca="false">C21-C6</f>
        <v>-0.0200000000040745</v>
      </c>
      <c r="D36" s="6" t="n">
        <f aca="false">D21-D6</f>
        <v>0.0200000000040745</v>
      </c>
      <c r="E36" s="6" t="n">
        <f aca="false">E21-E6</f>
        <v>-0.0599999999976717</v>
      </c>
      <c r="F36" s="6" t="n">
        <f aca="false">F21-F6</f>
        <v>0.239999999997963</v>
      </c>
      <c r="G36" s="6" t="n">
        <f aca="false">G21-G6</f>
        <v>-332.599999999999</v>
      </c>
      <c r="H36" s="6" t="n">
        <f aca="false">H21-H6</f>
        <v>332.550000000003</v>
      </c>
      <c r="I36" s="6" t="n">
        <f aca="false">I21-I6</f>
        <v>-0.0100000000020373</v>
      </c>
      <c r="J36" s="6" t="n">
        <f aca="false">J21-J6</f>
        <v>-0.0299999999988358</v>
      </c>
      <c r="K36" s="6" t="n">
        <f aca="false">K21-K6</f>
        <v>-0.0199999999967986</v>
      </c>
      <c r="L36" s="6" t="n">
        <f aca="false">L21-L6</f>
        <v>-0.0299999999988358</v>
      </c>
      <c r="M36" s="6" t="n">
        <f aca="false">M21-M6</f>
        <v>-0.169999999998254</v>
      </c>
      <c r="N36" s="10" t="n">
        <f aca="false">SUM(B36:M36)</f>
        <v>-0.129999999990105</v>
      </c>
    </row>
    <row r="37" customFormat="false" ht="15" hidden="false" customHeight="false" outlineLevel="0" collapsed="false">
      <c r="A37" s="4" t="s">
        <v>37</v>
      </c>
      <c r="B37" s="6" t="n">
        <f aca="false">B22-B7</f>
        <v>0</v>
      </c>
      <c r="C37" s="6" t="n">
        <f aca="false">C22-C7</f>
        <v>0</v>
      </c>
      <c r="D37" s="6" t="n">
        <f aca="false">D22-D7</f>
        <v>-0.00999999999839929</v>
      </c>
      <c r="E37" s="6" t="n">
        <f aca="false">E22-E7</f>
        <v>-73.3800000000001</v>
      </c>
      <c r="F37" s="6" t="n">
        <f aca="false">F22-F7</f>
        <v>73.4099999999999</v>
      </c>
      <c r="G37" s="6" t="n">
        <f aca="false">G22-G7</f>
        <v>-154.59</v>
      </c>
      <c r="H37" s="6" t="n">
        <f aca="false">H22-H7</f>
        <v>154.560000000001</v>
      </c>
      <c r="I37" s="6" t="n">
        <f aca="false">I22-I7</f>
        <v>0.00999999999839929</v>
      </c>
      <c r="J37" s="6" t="n">
        <f aca="false">J22-J7</f>
        <v>-0.0100000000002183</v>
      </c>
      <c r="K37" s="6" t="n">
        <f aca="false">K22-K7</f>
        <v>0</v>
      </c>
      <c r="L37" s="6" t="n">
        <f aca="false">L22-L7</f>
        <v>-84.7700000000004</v>
      </c>
      <c r="M37" s="6" t="n">
        <f aca="false">M22-M7</f>
        <v>0</v>
      </c>
      <c r="N37" s="10" t="n">
        <f aca="false">SUM(B37:M37)</f>
        <v>-84.7799999999998</v>
      </c>
    </row>
    <row r="38" customFormat="false" ht="15" hidden="false" customHeight="false" outlineLevel="0" collapsed="false">
      <c r="A38" s="4" t="s">
        <v>38</v>
      </c>
      <c r="B38" s="6" t="n">
        <f aca="false">B23-B8</f>
        <v>0</v>
      </c>
      <c r="C38" s="6" t="n">
        <f aca="false">C23-C8</f>
        <v>-0.0400000000008731</v>
      </c>
      <c r="D38" s="6" t="n">
        <f aca="false">D23-D8</f>
        <v>-0.0200000000040745</v>
      </c>
      <c r="E38" s="6" t="n">
        <f aca="false">E23-E8</f>
        <v>-0.0400000000008731</v>
      </c>
      <c r="F38" s="6" t="n">
        <f aca="false">F23-F8</f>
        <v>0.380000000004657</v>
      </c>
      <c r="G38" s="6" t="n">
        <f aca="false">G23-G8</f>
        <v>-537.949999999997</v>
      </c>
      <c r="H38" s="6" t="n">
        <f aca="false">H23-H8</f>
        <v>537.880000000005</v>
      </c>
      <c r="I38" s="6" t="n">
        <f aca="false">I23-I8</f>
        <v>-0.0400000000008731</v>
      </c>
      <c r="J38" s="6" t="n">
        <f aca="false">J23-J8</f>
        <v>-0.0299999999988358</v>
      </c>
      <c r="K38" s="6" t="n">
        <f aca="false">K23-K8</f>
        <v>-0.0400000000008731</v>
      </c>
      <c r="L38" s="6" t="n">
        <f aca="false">L23-L8</f>
        <v>-0.0400000000008731</v>
      </c>
      <c r="M38" s="6" t="n">
        <f aca="false">M23-M8</f>
        <v>-0.0299999999988358</v>
      </c>
      <c r="N38" s="10" t="n">
        <f aca="false">SUM(B38:M38)</f>
        <v>0.0300000000061118</v>
      </c>
    </row>
    <row r="39" customFormat="false" ht="15" hidden="false" customHeight="false" outlineLevel="0" collapsed="false">
      <c r="A39" s="4" t="s">
        <v>39</v>
      </c>
      <c r="B39" s="6" t="n">
        <f aca="false">B24-B9</f>
        <v>0</v>
      </c>
      <c r="C39" s="6" t="n">
        <f aca="false">C24-C9</f>
        <v>-0.0299999999988358</v>
      </c>
      <c r="D39" s="6" t="n">
        <f aca="false">D24-D9</f>
        <v>-0.0100000000002183</v>
      </c>
      <c r="E39" s="6" t="n">
        <f aca="false">E24-E9</f>
        <v>-0.0199999999986176</v>
      </c>
      <c r="F39" s="6" t="n">
        <f aca="false">F24-F9</f>
        <v>0.190000000000509</v>
      </c>
      <c r="G39" s="6" t="n">
        <f aca="false">G24-G9</f>
        <v>-248.33</v>
      </c>
      <c r="H39" s="6" t="n">
        <f aca="false">H24-H9</f>
        <v>248.300000000001</v>
      </c>
      <c r="I39" s="6" t="n">
        <f aca="false">I24-I9</f>
        <v>-0.0200000000004366</v>
      </c>
      <c r="J39" s="6" t="n">
        <f aca="false">J24-J9</f>
        <v>-0.0100000000002183</v>
      </c>
      <c r="K39" s="6" t="n">
        <f aca="false">K24-K9</f>
        <v>-0.00999999999839929</v>
      </c>
      <c r="L39" s="6" t="n">
        <f aca="false">L24-L9</f>
        <v>-0.0200000000004366</v>
      </c>
      <c r="M39" s="6" t="n">
        <f aca="false">M24-M9</f>
        <v>-0.0200000000004366</v>
      </c>
      <c r="N39" s="10" t="n">
        <f aca="false">SUM(B39:M39)</f>
        <v>0.0200000000040745</v>
      </c>
    </row>
    <row r="40" customFormat="false" ht="15" hidden="false" customHeight="false" outlineLevel="0" collapsed="false">
      <c r="A40" s="4" t="s">
        <v>40</v>
      </c>
      <c r="B40" s="6" t="n">
        <f aca="false">B25-B10</f>
        <v>0</v>
      </c>
      <c r="C40" s="6" t="n">
        <f aca="false">C25-C10</f>
        <v>-0.0400000000008731</v>
      </c>
      <c r="D40" s="6" t="n">
        <f aca="false">D25-D10</f>
        <v>-0.0299999999988358</v>
      </c>
      <c r="E40" s="6" t="n">
        <f aca="false">E25-E10</f>
        <v>-0.0400000000008731</v>
      </c>
      <c r="F40" s="6" t="n">
        <f aca="false">F25-F10</f>
        <v>0.0999999999985448</v>
      </c>
      <c r="G40" s="6" t="n">
        <f aca="false">G25-G10</f>
        <v>-549.949999999997</v>
      </c>
      <c r="H40" s="6" t="n">
        <f aca="false">H25-H10</f>
        <v>549.900000000002</v>
      </c>
      <c r="I40" s="6" t="n">
        <f aca="false">I25-I10</f>
        <v>-0.0100000000002183</v>
      </c>
      <c r="J40" s="6" t="n">
        <f aca="false">J25-J10</f>
        <v>-0.0299999999988358</v>
      </c>
      <c r="K40" s="6" t="n">
        <f aca="false">K25-K10</f>
        <v>-0.0199999999986176</v>
      </c>
      <c r="L40" s="6" t="n">
        <f aca="false">L25-L10</f>
        <v>-0.0200000000004366</v>
      </c>
      <c r="M40" s="6" t="n">
        <f aca="false">M25-M10</f>
        <v>-0.0199999999967986</v>
      </c>
      <c r="N40" s="10" t="n">
        <f aca="false">SUM(B40:M40)</f>
        <v>-0.159999999992579</v>
      </c>
    </row>
    <row r="41" customFormat="false" ht="15" hidden="false" customHeight="false" outlineLevel="0" collapsed="false">
      <c r="A41" s="4" t="s">
        <v>41</v>
      </c>
      <c r="B41" s="6" t="n">
        <f aca="false">B26-B11</f>
        <v>0</v>
      </c>
      <c r="C41" s="6" t="n">
        <f aca="false">C26-C11</f>
        <v>-0.0100000000002183</v>
      </c>
      <c r="D41" s="6" t="n">
        <f aca="false">D26-D11</f>
        <v>-0.0200000000004366</v>
      </c>
      <c r="E41" s="6" t="n">
        <f aca="false">E26-E11</f>
        <v>-0.0199999999986176</v>
      </c>
      <c r="F41" s="6" t="n">
        <f aca="false">F26-F11</f>
        <v>0.159999999999854</v>
      </c>
      <c r="G41" s="6" t="n">
        <f aca="false">G26-G11</f>
        <v>-227.1</v>
      </c>
      <c r="H41" s="6" t="n">
        <f aca="false">H26-H11</f>
        <v>227.07</v>
      </c>
      <c r="I41" s="6" t="n">
        <f aca="false">I26-I11</f>
        <v>-0.0100000000002183</v>
      </c>
      <c r="J41" s="6" t="n">
        <f aca="false">J26-J11</f>
        <v>-0.0200000000004366</v>
      </c>
      <c r="K41" s="6" t="n">
        <f aca="false">K26-K11</f>
        <v>-0.0200000000004366</v>
      </c>
      <c r="L41" s="6" t="n">
        <f aca="false">L26-L11</f>
        <v>0</v>
      </c>
      <c r="M41" s="6" t="n">
        <f aca="false">M26-M11</f>
        <v>-0.0200000000004366</v>
      </c>
      <c r="N41" s="10" t="n">
        <f aca="false">SUM(B41:M41)</f>
        <v>0.00999999999839929</v>
      </c>
    </row>
    <row r="42" customFormat="false" ht="15" hidden="false" customHeight="false" outlineLevel="0" collapsed="false">
      <c r="A42" s="4" t="s">
        <v>42</v>
      </c>
      <c r="B42" s="6" t="n">
        <f aca="false">B27-B12</f>
        <v>0</v>
      </c>
      <c r="C42" s="6" t="n">
        <f aca="false">C27-C12</f>
        <v>-0.0200000000004366</v>
      </c>
      <c r="D42" s="6" t="n">
        <f aca="false">D27-D12</f>
        <v>0</v>
      </c>
      <c r="E42" s="6" t="n">
        <f aca="false">E27-E12</f>
        <v>-0.0599999999994907</v>
      </c>
      <c r="F42" s="6" t="n">
        <f aca="false">F27-F12</f>
        <v>0.159999999999854</v>
      </c>
      <c r="G42" s="6" t="n">
        <f aca="false">G27-G12</f>
        <v>-154.6</v>
      </c>
      <c r="H42" s="6" t="n">
        <f aca="false">H27-H12</f>
        <v>154.58</v>
      </c>
      <c r="I42" s="6" t="n">
        <f aca="false">I27-I12</f>
        <v>-0.0200000000004366</v>
      </c>
      <c r="J42" s="6" t="n">
        <f aca="false">J27-J12</f>
        <v>-0.0200000000004366</v>
      </c>
      <c r="K42" s="6" t="n">
        <f aca="false">K27-K12</f>
        <v>0.0100000000002183</v>
      </c>
      <c r="L42" s="6" t="n">
        <f aca="false">L27-L12</f>
        <v>-0.0499999999992724</v>
      </c>
      <c r="M42" s="6" t="n">
        <f aca="false">M27-M12</f>
        <v>0.0299999999988358</v>
      </c>
      <c r="N42" s="10" t="n">
        <f aca="false">SUM(B42:M42)</f>
        <v>0.00999999999839929</v>
      </c>
    </row>
    <row r="43" customFormat="false" ht="15" hidden="false" customHeight="false" outlineLevel="0" collapsed="false">
      <c r="A43" s="4" t="s">
        <v>43</v>
      </c>
      <c r="B43" s="6" t="n">
        <f aca="false">B28-B13</f>
        <v>0</v>
      </c>
      <c r="C43" s="6" t="n">
        <f aca="false">C28-C13</f>
        <v>-0.0100000000020373</v>
      </c>
      <c r="D43" s="6" t="n">
        <f aca="false">D28-D13</f>
        <v>0.0299999999988358</v>
      </c>
      <c r="E43" s="6" t="n">
        <f aca="false">E28-E13</f>
        <v>-0.069999999999709</v>
      </c>
      <c r="F43" s="6" t="n">
        <f aca="false">F28-F13</f>
        <v>0.19999999999709</v>
      </c>
      <c r="G43" s="6" t="n">
        <f aca="false">G28-G13</f>
        <v>-332.610000000001</v>
      </c>
      <c r="H43" s="6" t="n">
        <f aca="false">H28-H13</f>
        <v>332.57</v>
      </c>
      <c r="I43" s="6" t="n">
        <f aca="false">I28-I13</f>
        <v>-0.0200000000004366</v>
      </c>
      <c r="J43" s="6" t="n">
        <f aca="false">J28-J13</f>
        <v>-0.0200000000004366</v>
      </c>
      <c r="K43" s="6" t="n">
        <f aca="false">K28-K13</f>
        <v>-0.00999999999839929</v>
      </c>
      <c r="L43" s="6" t="n">
        <f aca="false">L28-L13</f>
        <v>-0.0300000000024738</v>
      </c>
      <c r="M43" s="6" t="n">
        <f aca="false">M28-M13</f>
        <v>-0.0100000000020373</v>
      </c>
      <c r="N43" s="10" t="n">
        <f aca="false">SUM(B43:M43)</f>
        <v>0.0199999999895226</v>
      </c>
    </row>
    <row r="44" customFormat="false" ht="15" hidden="false" customHeight="false" outlineLevel="0" collapsed="false">
      <c r="A44" s="4" t="s">
        <v>44</v>
      </c>
      <c r="B44" s="6" t="n">
        <f aca="false">B29-B14</f>
        <v>0</v>
      </c>
      <c r="C44" s="6" t="n">
        <f aca="false">C29-C14</f>
        <v>-0.0100000000002183</v>
      </c>
      <c r="D44" s="6" t="n">
        <f aca="false">D29-D14</f>
        <v>-0.0200000000004366</v>
      </c>
      <c r="E44" s="6" t="n">
        <f aca="false">E29-E14</f>
        <v>-0.0100000000002183</v>
      </c>
      <c r="F44" s="6" t="n">
        <f aca="false">F29-F14</f>
        <v>0.159999999999854</v>
      </c>
      <c r="G44" s="6" t="n">
        <f aca="false">G29-G14</f>
        <v>-227.099999999999</v>
      </c>
      <c r="H44" s="6" t="n">
        <f aca="false">H29-H14</f>
        <v>227.07</v>
      </c>
      <c r="I44" s="6" t="n">
        <f aca="false">I29-I14</f>
        <v>-0.0199999999986176</v>
      </c>
      <c r="J44" s="6" t="n">
        <f aca="false">J29-J14</f>
        <v>-0.0100000000002183</v>
      </c>
      <c r="K44" s="6" t="n">
        <f aca="false">K29-K14</f>
        <v>-0.0200000000004366</v>
      </c>
      <c r="L44" s="6" t="n">
        <f aca="false">L29-L14</f>
        <v>-0.0100000000002183</v>
      </c>
      <c r="M44" s="6" t="n">
        <f aca="false">M29-M14</f>
        <v>-0.0499999999992724</v>
      </c>
      <c r="N44" s="10" t="n">
        <f aca="false">SUM(B44:M44)</f>
        <v>-0.0199999999986176</v>
      </c>
    </row>
    <row r="45" customFormat="false" ht="15" hidden="false" customHeight="false" outlineLevel="0" collapsed="false">
      <c r="A45" s="4" t="s">
        <v>45</v>
      </c>
      <c r="B45" s="6" t="n">
        <f aca="false">B30-B15</f>
        <v>0</v>
      </c>
      <c r="C45" s="6" t="n">
        <f aca="false">C30-C15</f>
        <v>-0.0300000000024738</v>
      </c>
      <c r="D45" s="6" t="n">
        <f aca="false">D30-D15</f>
        <v>-0.0299999999988358</v>
      </c>
      <c r="E45" s="6" t="n">
        <f aca="false">E30-E15</f>
        <v>-0.00999999999839929</v>
      </c>
      <c r="F45" s="6" t="n">
        <f aca="false">F30-F15</f>
        <v>0.229999999999563</v>
      </c>
      <c r="G45" s="6" t="n">
        <f aca="false">G30-G15</f>
        <v>-332.599999999999</v>
      </c>
      <c r="H45" s="6" t="n">
        <f aca="false">H30-H15</f>
        <v>332.549999999996</v>
      </c>
      <c r="I45" s="6" t="n">
        <f aca="false">I30-I15</f>
        <v>-0.0200000000040745</v>
      </c>
      <c r="J45" s="6" t="n">
        <f aca="false">J30-J15</f>
        <v>-0.0199999999967986</v>
      </c>
      <c r="K45" s="6" t="n">
        <f aca="false">K30-K15</f>
        <v>-0.0199999999967986</v>
      </c>
      <c r="L45" s="6" t="n">
        <f aca="false">L30-L15</f>
        <v>-0.0199999999967986</v>
      </c>
      <c r="M45" s="6" t="n">
        <f aca="false">M30-M15</f>
        <v>-0.0199999999967986</v>
      </c>
      <c r="N45" s="10" t="n">
        <f aca="false">SUM(B45:M45)</f>
        <v>0.0100000000056752</v>
      </c>
    </row>
    <row r="46" customFormat="false" ht="15" hidden="false" customHeight="false" outlineLevel="0" collapsed="false">
      <c r="A46" s="11" t="s">
        <v>46</v>
      </c>
      <c r="B46" s="12" t="n">
        <f aca="false">SUM(B35:B45)</f>
        <v>0</v>
      </c>
      <c r="C46" s="12" t="n">
        <f aca="false">SUM(C35:C45)</f>
        <v>-0.22000000000844</v>
      </c>
      <c r="D46" s="12" t="n">
        <f aca="false">SUM(D35:D45)</f>
        <v>-0.109999999998763</v>
      </c>
      <c r="E46" s="12" t="n">
        <f aca="false">SUM(E35:E45)</f>
        <v>-73.729999999995</v>
      </c>
      <c r="F46" s="12" t="n">
        <f aca="false">SUM(F35:F45)</f>
        <v>75.4599999999973</v>
      </c>
      <c r="G46" s="12" t="n">
        <f aca="false">SUM(G35:G45)</f>
        <v>-3430.03999999999</v>
      </c>
      <c r="H46" s="12" t="n">
        <f aca="false">SUM(H35:H45)</f>
        <v>3429.59000000001</v>
      </c>
      <c r="I46" s="12" t="n">
        <f aca="false">SUM(I35:I45)</f>
        <v>-0.180000000009386</v>
      </c>
      <c r="J46" s="12" t="n">
        <f aca="false">SUM(J35:J45)</f>
        <v>-0.219999999995707</v>
      </c>
      <c r="K46" s="12" t="n">
        <f aca="false">SUM(K35:K45)</f>
        <v>-0.169999999990978</v>
      </c>
      <c r="L46" s="12" t="n">
        <f aca="false">SUM(L35:L45)</f>
        <v>-85.0199999999986</v>
      </c>
      <c r="M46" s="12" t="n">
        <f aca="false">SUM(M35:M45)</f>
        <v>-0.319999999996071</v>
      </c>
      <c r="N46" s="12" t="n">
        <f aca="false">SUM(N35:N45)</f>
        <v>-84.9599999999764</v>
      </c>
    </row>
  </sheetData>
  <conditionalFormatting sqref="B35:N46">
    <cfRule type="cellIs" priority="2" operator="notBetween" aboveAverage="0" equalAverage="0" bottom="0" percent="0" rank="0" text="" dxfId="0">
      <formula>-0.5</formula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2" min="1" style="0" width="16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60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66</v>
      </c>
      <c r="Q4" s="3" t="s">
        <v>67</v>
      </c>
      <c r="R4" s="3" t="s">
        <v>68</v>
      </c>
      <c r="S4" s="3" t="s">
        <v>69</v>
      </c>
      <c r="T4" s="3" t="s">
        <v>70</v>
      </c>
      <c r="U4" s="3" t="s">
        <v>71</v>
      </c>
      <c r="V4" s="3" t="s">
        <v>72</v>
      </c>
    </row>
    <row r="5" customFormat="false" ht="15" hidden="false" customHeight="false" outlineLevel="0" collapsed="false">
      <c r="A5" s="4" t="s">
        <v>22</v>
      </c>
      <c r="B5" s="9" t="n">
        <v>1034472.6</v>
      </c>
      <c r="C5" s="9" t="n">
        <v>1034472.6</v>
      </c>
      <c r="D5" s="6" t="n">
        <f aca="false">C5-B5</f>
        <v>0</v>
      </c>
      <c r="E5" s="9" t="n">
        <v>315011.83</v>
      </c>
      <c r="F5" s="9" t="n">
        <v>315011.83</v>
      </c>
      <c r="G5" s="6" t="n">
        <f aca="false">F5-E5</f>
        <v>0</v>
      </c>
      <c r="H5" s="9" t="n">
        <v>1948.32</v>
      </c>
      <c r="I5" s="9" t="n">
        <v>1948.32</v>
      </c>
      <c r="J5" s="6" t="n">
        <f aca="false">I5-H5</f>
        <v>0</v>
      </c>
      <c r="K5" s="9" t="n">
        <v>1948.32</v>
      </c>
      <c r="L5" s="9" t="n">
        <v>1948.32</v>
      </c>
      <c r="M5" s="6" t="n">
        <f aca="false">L5-K5</f>
        <v>0</v>
      </c>
      <c r="N5" s="9" t="n">
        <v>10206.15</v>
      </c>
      <c r="O5" s="9" t="n">
        <v>10206.14</v>
      </c>
      <c r="P5" s="6" t="n">
        <f aca="false">O5-N5</f>
        <v>-0.0100000000002183</v>
      </c>
      <c r="Q5" s="9" t="n">
        <v>12154.47</v>
      </c>
      <c r="R5" s="9" t="n">
        <v>12154.46</v>
      </c>
      <c r="S5" s="6" t="n">
        <f aca="false">R5-Q5</f>
        <v>-0.0100000000002183</v>
      </c>
      <c r="T5" s="9" t="n">
        <v>320800.34</v>
      </c>
      <c r="U5" s="9" t="n">
        <v>327881.25</v>
      </c>
      <c r="V5" s="6" t="n">
        <f aca="false">U5-T5</f>
        <v>7080.90999999997</v>
      </c>
    </row>
    <row r="6" customFormat="false" ht="15" hidden="false" customHeight="false" outlineLevel="0" collapsed="false">
      <c r="A6" s="4" t="s">
        <v>23</v>
      </c>
      <c r="B6" s="9" t="n">
        <v>1043661.51</v>
      </c>
      <c r="C6" s="9" t="n">
        <v>1043661.51</v>
      </c>
      <c r="D6" s="6" t="n">
        <f aca="false">C6-B6</f>
        <v>0</v>
      </c>
      <c r="E6" s="9" t="n">
        <v>319353.04</v>
      </c>
      <c r="F6" s="9" t="n">
        <v>319352.82</v>
      </c>
      <c r="G6" s="6" t="n">
        <f aca="false">F6-E6</f>
        <v>-0.21999999997206</v>
      </c>
      <c r="H6" s="9" t="n">
        <v>1948.32</v>
      </c>
      <c r="I6" s="9" t="n">
        <v>1948.32</v>
      </c>
      <c r="J6" s="6" t="n">
        <f aca="false">I6-H6</f>
        <v>0</v>
      </c>
      <c r="K6" s="9" t="n">
        <v>1948.32</v>
      </c>
      <c r="L6" s="9" t="n">
        <v>1948.32</v>
      </c>
      <c r="M6" s="6" t="n">
        <f aca="false">L6-K6</f>
        <v>0</v>
      </c>
      <c r="N6" s="9" t="n">
        <v>10320.74</v>
      </c>
      <c r="O6" s="9" t="n">
        <v>10320.74</v>
      </c>
      <c r="P6" s="6" t="n">
        <f aca="false">O6-N6</f>
        <v>0</v>
      </c>
      <c r="Q6" s="9" t="n">
        <v>12269.06</v>
      </c>
      <c r="R6" s="9" t="n">
        <v>12269.06</v>
      </c>
      <c r="S6" s="6" t="n">
        <f aca="false">R6-Q6</f>
        <v>0</v>
      </c>
      <c r="T6" s="9" t="n">
        <v>325141.55</v>
      </c>
      <c r="U6" s="9" t="n">
        <v>332491.33</v>
      </c>
      <c r="V6" s="6" t="n">
        <f aca="false">U6-T6</f>
        <v>7349.78000000003</v>
      </c>
    </row>
    <row r="7" customFormat="false" ht="15" hidden="false" customHeight="false" outlineLevel="0" collapsed="false">
      <c r="A7" s="4" t="s">
        <v>24</v>
      </c>
      <c r="B7" s="9" t="n">
        <v>1001831.59</v>
      </c>
      <c r="C7" s="9" t="n">
        <v>1001831.59</v>
      </c>
      <c r="D7" s="6" t="n">
        <f aca="false">C7-B7</f>
        <v>0</v>
      </c>
      <c r="E7" s="9" t="n">
        <v>302855.73</v>
      </c>
      <c r="F7" s="9" t="n">
        <v>302855.62</v>
      </c>
      <c r="G7" s="6" t="n">
        <f aca="false">F7-E7</f>
        <v>-0.10999999998603</v>
      </c>
      <c r="H7" s="9" t="n">
        <v>1948.32</v>
      </c>
      <c r="I7" s="9" t="n">
        <v>1948.32</v>
      </c>
      <c r="J7" s="6" t="n">
        <f aca="false">I7-H7</f>
        <v>0</v>
      </c>
      <c r="K7" s="9" t="n">
        <v>1948.32</v>
      </c>
      <c r="L7" s="9" t="n">
        <v>1948.32</v>
      </c>
      <c r="M7" s="6" t="n">
        <f aca="false">L7-K7</f>
        <v>0</v>
      </c>
      <c r="N7" s="9" t="n">
        <v>9914.24</v>
      </c>
      <c r="O7" s="9" t="n">
        <v>9914.24</v>
      </c>
      <c r="P7" s="6" t="n">
        <f aca="false">O7-N7</f>
        <v>0</v>
      </c>
      <c r="Q7" s="9" t="n">
        <v>11862.56</v>
      </c>
      <c r="R7" s="9" t="n">
        <v>11862.56</v>
      </c>
      <c r="S7" s="6" t="n">
        <f aca="false">R7-Q7</f>
        <v>0</v>
      </c>
      <c r="T7" s="9" t="n">
        <v>308644.24</v>
      </c>
      <c r="U7" s="9" t="n">
        <v>315994.13</v>
      </c>
      <c r="V7" s="6" t="n">
        <f aca="false">U7-T7</f>
        <v>7349.89000000001</v>
      </c>
    </row>
    <row r="8" customFormat="false" ht="15" hidden="false" customHeight="false" outlineLevel="0" collapsed="false">
      <c r="A8" s="4" t="s">
        <v>25</v>
      </c>
      <c r="B8" s="9" t="n">
        <v>896720.73</v>
      </c>
      <c r="C8" s="9" t="n">
        <v>896720.73</v>
      </c>
      <c r="D8" s="6" t="n">
        <f aca="false">C8-B8</f>
        <v>0</v>
      </c>
      <c r="E8" s="9" t="n">
        <v>257329.22</v>
      </c>
      <c r="F8" s="9" t="n">
        <v>257255.49</v>
      </c>
      <c r="G8" s="6" t="n">
        <f aca="false">F8-E8</f>
        <v>-73.7300000000105</v>
      </c>
      <c r="H8" s="9" t="n">
        <v>1948.32</v>
      </c>
      <c r="I8" s="9" t="n">
        <v>1948.32</v>
      </c>
      <c r="J8" s="6" t="n">
        <f aca="false">I8-H8</f>
        <v>0</v>
      </c>
      <c r="K8" s="9" t="n">
        <v>1948.32</v>
      </c>
      <c r="L8" s="9" t="n">
        <v>1948.32</v>
      </c>
      <c r="M8" s="6" t="n">
        <f aca="false">L8-K8</f>
        <v>0</v>
      </c>
      <c r="N8" s="9" t="n">
        <v>8846.24</v>
      </c>
      <c r="O8" s="9" t="n">
        <v>8846.24</v>
      </c>
      <c r="P8" s="6" t="n">
        <f aca="false">O8-N8</f>
        <v>0</v>
      </c>
      <c r="Q8" s="9" t="n">
        <v>10794.56</v>
      </c>
      <c r="R8" s="9" t="n">
        <v>10794.56</v>
      </c>
      <c r="S8" s="6" t="n">
        <f aca="false">R8-Q8</f>
        <v>0</v>
      </c>
      <c r="T8" s="9" t="n">
        <v>263117.73</v>
      </c>
      <c r="U8" s="9" t="n">
        <v>270394</v>
      </c>
      <c r="V8" s="6" t="n">
        <f aca="false">U8-T8</f>
        <v>7276.27000000002</v>
      </c>
    </row>
    <row r="9" customFormat="false" ht="15" hidden="false" customHeight="false" outlineLevel="0" collapsed="false">
      <c r="A9" s="4" t="s">
        <v>26</v>
      </c>
      <c r="B9" s="9" t="n">
        <v>841914.37</v>
      </c>
      <c r="C9" s="9" t="n">
        <v>841914.37</v>
      </c>
      <c r="D9" s="6" t="n">
        <f aca="false">C9-B9</f>
        <v>0</v>
      </c>
      <c r="E9" s="9" t="n">
        <v>235382.45</v>
      </c>
      <c r="F9" s="9" t="n">
        <v>235457.91</v>
      </c>
      <c r="G9" s="6" t="n">
        <f aca="false">F9-E9</f>
        <v>75.4599999999919</v>
      </c>
      <c r="H9" s="9" t="n">
        <v>1948.32</v>
      </c>
      <c r="I9" s="9" t="n">
        <v>1948.32</v>
      </c>
      <c r="J9" s="6" t="n">
        <f aca="false">I9-H9</f>
        <v>0</v>
      </c>
      <c r="K9" s="9" t="n">
        <v>1948.32</v>
      </c>
      <c r="L9" s="9" t="n">
        <v>1948.32</v>
      </c>
      <c r="M9" s="6" t="n">
        <f aca="false">L9-K9</f>
        <v>0</v>
      </c>
      <c r="N9" s="9" t="n">
        <v>8277.61</v>
      </c>
      <c r="O9" s="9" t="n">
        <v>8277.61</v>
      </c>
      <c r="P9" s="6" t="n">
        <f aca="false">O9-N9</f>
        <v>0</v>
      </c>
      <c r="Q9" s="9" t="n">
        <v>10225.93</v>
      </c>
      <c r="R9" s="9" t="n">
        <v>10225.93</v>
      </c>
      <c r="S9" s="6" t="n">
        <f aca="false">R9-Q9</f>
        <v>0</v>
      </c>
      <c r="T9" s="9" t="n">
        <v>241170.96</v>
      </c>
      <c r="U9" s="9" t="n">
        <v>248596.42</v>
      </c>
      <c r="V9" s="6" t="n">
        <f aca="false">U9-T9</f>
        <v>7425.46000000002</v>
      </c>
    </row>
    <row r="10" customFormat="false" ht="15" hidden="false" customHeight="false" outlineLevel="0" collapsed="false">
      <c r="A10" s="4" t="s">
        <v>27</v>
      </c>
      <c r="B10" s="9" t="n">
        <v>988356.71</v>
      </c>
      <c r="C10" s="9" t="n">
        <v>988356.71</v>
      </c>
      <c r="D10" s="6" t="n">
        <f aca="false">C10-B10</f>
        <v>0</v>
      </c>
      <c r="E10" s="9" t="n">
        <v>296008.92</v>
      </c>
      <c r="F10" s="9" t="n">
        <v>292578.88</v>
      </c>
      <c r="G10" s="6" t="n">
        <f aca="false">F10-E10</f>
        <v>-3430.03999999998</v>
      </c>
      <c r="H10" s="9" t="n">
        <v>1948.32</v>
      </c>
      <c r="I10" s="9" t="n">
        <v>1948.32</v>
      </c>
      <c r="J10" s="6" t="n">
        <f aca="false">I10-H10</f>
        <v>0</v>
      </c>
      <c r="K10" s="9" t="n">
        <v>1948.32</v>
      </c>
      <c r="L10" s="9" t="n">
        <v>1948.32</v>
      </c>
      <c r="M10" s="6" t="n">
        <f aca="false">L10-K10</f>
        <v>0</v>
      </c>
      <c r="N10" s="9" t="n">
        <v>9743.58</v>
      </c>
      <c r="O10" s="9" t="n">
        <v>9743.58</v>
      </c>
      <c r="P10" s="6" t="n">
        <f aca="false">O10-N10</f>
        <v>0</v>
      </c>
      <c r="Q10" s="9" t="n">
        <v>11691.9</v>
      </c>
      <c r="R10" s="9" t="n">
        <v>11691.9</v>
      </c>
      <c r="S10" s="6" t="n">
        <f aca="false">R10-Q10</f>
        <v>0</v>
      </c>
      <c r="T10" s="9" t="n">
        <v>301797.43</v>
      </c>
      <c r="U10" s="9" t="n">
        <v>305717.39</v>
      </c>
      <c r="V10" s="6" t="n">
        <f aca="false">U10-T10</f>
        <v>3919.96000000002</v>
      </c>
    </row>
    <row r="11" customFormat="false" ht="15" hidden="false" customHeight="false" outlineLevel="0" collapsed="false">
      <c r="A11" s="4" t="s">
        <v>28</v>
      </c>
      <c r="B11" s="9" t="n">
        <v>946171.17</v>
      </c>
      <c r="C11" s="9" t="n">
        <v>946171.17</v>
      </c>
      <c r="D11" s="6" t="n">
        <f aca="false">C11-B11</f>
        <v>0</v>
      </c>
      <c r="E11" s="9" t="n">
        <v>272953.06</v>
      </c>
      <c r="F11" s="9" t="n">
        <v>276382.65</v>
      </c>
      <c r="G11" s="6" t="n">
        <f aca="false">F11-E11</f>
        <v>3429.59000000003</v>
      </c>
      <c r="H11" s="9" t="n">
        <v>1948.32</v>
      </c>
      <c r="I11" s="9" t="n">
        <v>1948.32</v>
      </c>
      <c r="J11" s="6" t="n">
        <f aca="false">I11-H11</f>
        <v>0</v>
      </c>
      <c r="K11" s="9" t="n">
        <v>1948.32</v>
      </c>
      <c r="L11" s="9" t="n">
        <v>1948.32</v>
      </c>
      <c r="M11" s="6" t="n">
        <f aca="false">L11-K11</f>
        <v>0</v>
      </c>
      <c r="N11" s="9" t="n">
        <v>9327.52</v>
      </c>
      <c r="O11" s="9" t="n">
        <v>9327.52</v>
      </c>
      <c r="P11" s="6" t="n">
        <f aca="false">O11-N11</f>
        <v>0</v>
      </c>
      <c r="Q11" s="9" t="n">
        <v>11275.84</v>
      </c>
      <c r="R11" s="9" t="n">
        <v>11275.84</v>
      </c>
      <c r="S11" s="6" t="n">
        <f aca="false">R11-Q11</f>
        <v>0</v>
      </c>
      <c r="T11" s="9" t="n">
        <v>278741.57</v>
      </c>
      <c r="U11" s="9" t="n">
        <v>289521.16</v>
      </c>
      <c r="V11" s="6" t="n">
        <f aca="false">U11-T11</f>
        <v>10779.59</v>
      </c>
    </row>
    <row r="12" customFormat="false" ht="15" hidden="false" customHeight="false" outlineLevel="0" collapsed="false">
      <c r="A12" s="4" t="s">
        <v>29</v>
      </c>
      <c r="B12" s="9" t="n">
        <v>934560.42</v>
      </c>
      <c r="C12" s="9" t="n">
        <v>934560.42</v>
      </c>
      <c r="D12" s="6" t="n">
        <f aca="false">C12-B12</f>
        <v>0</v>
      </c>
      <c r="E12" s="9" t="n">
        <v>270503.67</v>
      </c>
      <c r="F12" s="9" t="n">
        <v>270503.49</v>
      </c>
      <c r="G12" s="6" t="n">
        <f aca="false">F12-E12</f>
        <v>-0.179999999993015</v>
      </c>
      <c r="H12" s="9" t="n">
        <v>1948.32</v>
      </c>
      <c r="I12" s="9" t="n">
        <v>1948.32</v>
      </c>
      <c r="J12" s="6" t="n">
        <f aca="false">I12-H12</f>
        <v>0</v>
      </c>
      <c r="K12" s="9" t="n">
        <v>1948.32</v>
      </c>
      <c r="L12" s="9" t="n">
        <v>1948.32</v>
      </c>
      <c r="M12" s="6" t="n">
        <f aca="false">L12-K12</f>
        <v>0</v>
      </c>
      <c r="N12" s="9" t="n">
        <v>9230.11</v>
      </c>
      <c r="O12" s="9" t="n">
        <v>9230.11</v>
      </c>
      <c r="P12" s="6" t="n">
        <f aca="false">O12-N12</f>
        <v>0</v>
      </c>
      <c r="Q12" s="9" t="n">
        <v>11178.43</v>
      </c>
      <c r="R12" s="9" t="n">
        <v>11178.43</v>
      </c>
      <c r="S12" s="6" t="n">
        <f aca="false">R12-Q12</f>
        <v>0</v>
      </c>
      <c r="T12" s="9" t="n">
        <v>276292.18</v>
      </c>
      <c r="U12" s="9" t="n">
        <v>283642</v>
      </c>
      <c r="V12" s="6" t="n">
        <f aca="false">U12-T12</f>
        <v>7349.82000000001</v>
      </c>
    </row>
    <row r="13" customFormat="false" ht="15" hidden="false" customHeight="false" outlineLevel="0" collapsed="false">
      <c r="A13" s="4" t="s">
        <v>30</v>
      </c>
      <c r="B13" s="9" t="n">
        <v>1031501.67</v>
      </c>
      <c r="C13" s="9" t="n">
        <v>1031501.67</v>
      </c>
      <c r="D13" s="6" t="n">
        <f aca="false">C13-B13</f>
        <v>0</v>
      </c>
      <c r="E13" s="9" t="n">
        <v>309119.72</v>
      </c>
      <c r="F13" s="9" t="n">
        <v>309119.5</v>
      </c>
      <c r="G13" s="6" t="n">
        <f aca="false">F13-E13</f>
        <v>-0.21999999997206</v>
      </c>
      <c r="H13" s="9" t="n">
        <v>1948.32</v>
      </c>
      <c r="I13" s="9" t="n">
        <v>1948.32</v>
      </c>
      <c r="J13" s="6" t="n">
        <f aca="false">I13-H13</f>
        <v>0</v>
      </c>
      <c r="K13" s="9" t="n">
        <v>1948.32</v>
      </c>
      <c r="L13" s="9" t="n">
        <v>1948.32</v>
      </c>
      <c r="M13" s="6" t="n">
        <f aca="false">L13-K13</f>
        <v>0</v>
      </c>
      <c r="N13" s="9" t="n">
        <v>10160.47</v>
      </c>
      <c r="O13" s="9" t="n">
        <v>10160.47</v>
      </c>
      <c r="P13" s="6" t="n">
        <f aca="false">O13-N13</f>
        <v>0</v>
      </c>
      <c r="Q13" s="9" t="n">
        <v>12108.79</v>
      </c>
      <c r="R13" s="9" t="n">
        <v>12108.79</v>
      </c>
      <c r="S13" s="6" t="n">
        <f aca="false">R13-Q13</f>
        <v>0</v>
      </c>
      <c r="T13" s="9" t="n">
        <v>370958.23</v>
      </c>
      <c r="U13" s="9" t="n">
        <v>378308.01</v>
      </c>
      <c r="V13" s="6" t="n">
        <f aca="false">U13-T13</f>
        <v>7349.78000000003</v>
      </c>
    </row>
    <row r="14" customFormat="false" ht="15" hidden="false" customHeight="false" outlineLevel="0" collapsed="false">
      <c r="A14" s="4" t="s">
        <v>31</v>
      </c>
      <c r="B14" s="9" t="n">
        <v>936029.24</v>
      </c>
      <c r="C14" s="9" t="n">
        <v>936029.24</v>
      </c>
      <c r="D14" s="6" t="n">
        <f aca="false">C14-B14</f>
        <v>0</v>
      </c>
      <c r="E14" s="9" t="n">
        <v>271413.09</v>
      </c>
      <c r="F14" s="9" t="n">
        <v>271412.92</v>
      </c>
      <c r="G14" s="6" t="n">
        <f aca="false">F14-E14</f>
        <v>-0.17000000004191</v>
      </c>
      <c r="H14" s="9" t="n">
        <v>1948.32</v>
      </c>
      <c r="I14" s="9" t="n">
        <v>1948.32</v>
      </c>
      <c r="J14" s="6" t="n">
        <f aca="false">I14-H14</f>
        <v>0</v>
      </c>
      <c r="K14" s="9" t="n">
        <v>1948.32</v>
      </c>
      <c r="L14" s="9" t="n">
        <v>1948.32</v>
      </c>
      <c r="M14" s="6" t="n">
        <f aca="false">L14-K14</f>
        <v>0</v>
      </c>
      <c r="N14" s="9" t="n">
        <v>9243.87</v>
      </c>
      <c r="O14" s="9" t="n">
        <v>9243.87</v>
      </c>
      <c r="P14" s="6" t="n">
        <f aca="false">O14-N14</f>
        <v>0</v>
      </c>
      <c r="Q14" s="9" t="n">
        <v>11192.19</v>
      </c>
      <c r="R14" s="9" t="n">
        <v>11192.19</v>
      </c>
      <c r="S14" s="6" t="n">
        <f aca="false">R14-Q14</f>
        <v>0</v>
      </c>
      <c r="T14" s="9" t="n">
        <v>277378.9</v>
      </c>
      <c r="U14" s="9" t="n">
        <v>284985.98</v>
      </c>
      <c r="V14" s="6" t="n">
        <f aca="false">U14-T14</f>
        <v>7607.07999999996</v>
      </c>
    </row>
    <row r="15" customFormat="false" ht="15" hidden="false" customHeight="false" outlineLevel="0" collapsed="false">
      <c r="A15" s="4" t="s">
        <v>32</v>
      </c>
      <c r="B15" s="9" t="n">
        <v>1036225.52</v>
      </c>
      <c r="C15" s="9" t="n">
        <v>1036225.52</v>
      </c>
      <c r="D15" s="6" t="n">
        <f aca="false">C15-B15</f>
        <v>0</v>
      </c>
      <c r="E15" s="9" t="n">
        <v>310329.64</v>
      </c>
      <c r="F15" s="9" t="n">
        <v>310244.62</v>
      </c>
      <c r="G15" s="6" t="n">
        <f aca="false">F15-E15</f>
        <v>-85.0200000000186</v>
      </c>
      <c r="H15" s="9" t="n">
        <v>1948.32</v>
      </c>
      <c r="I15" s="9" t="n">
        <v>1948.32</v>
      </c>
      <c r="J15" s="6" t="n">
        <f aca="false">I15-H15</f>
        <v>0</v>
      </c>
      <c r="K15" s="9" t="n">
        <v>1948.32</v>
      </c>
      <c r="L15" s="9" t="n">
        <v>1948.32</v>
      </c>
      <c r="M15" s="6" t="n">
        <f aca="false">L15-K15</f>
        <v>0</v>
      </c>
      <c r="N15" s="9" t="n">
        <v>10227.28</v>
      </c>
      <c r="O15" s="9" t="n">
        <v>10227.28</v>
      </c>
      <c r="P15" s="6" t="n">
        <f aca="false">O15-N15</f>
        <v>0</v>
      </c>
      <c r="Q15" s="9" t="n">
        <v>12175.6</v>
      </c>
      <c r="R15" s="9" t="n">
        <v>12175.6</v>
      </c>
      <c r="S15" s="6" t="n">
        <f aca="false">R15-Q15</f>
        <v>0</v>
      </c>
      <c r="T15" s="9" t="n">
        <v>316294.34</v>
      </c>
      <c r="U15" s="9" t="n">
        <v>323816.57</v>
      </c>
      <c r="V15" s="6" t="n">
        <f aca="false">U15-T15</f>
        <v>7522.22999999998</v>
      </c>
    </row>
    <row r="16" customFormat="false" ht="15" hidden="false" customHeight="false" outlineLevel="0" collapsed="false">
      <c r="A16" s="4" t="s">
        <v>33</v>
      </c>
      <c r="B16" s="9" t="n">
        <v>1038912.28</v>
      </c>
      <c r="C16" s="9" t="n">
        <v>1038912.28</v>
      </c>
      <c r="D16" s="6" t="n">
        <f aca="false">C16-B16</f>
        <v>0</v>
      </c>
      <c r="E16" s="9" t="n">
        <v>317868.03</v>
      </c>
      <c r="F16" s="9" t="n">
        <v>317867.71</v>
      </c>
      <c r="G16" s="6" t="n">
        <f aca="false">F16-E16</f>
        <v>-0.320000000006985</v>
      </c>
      <c r="H16" s="9" t="n">
        <v>1948.32</v>
      </c>
      <c r="I16" s="9" t="n">
        <v>1948.32</v>
      </c>
      <c r="J16" s="6" t="n">
        <f aca="false">I16-H16</f>
        <v>0</v>
      </c>
      <c r="K16" s="9" t="n">
        <v>1948.32</v>
      </c>
      <c r="L16" s="9" t="n">
        <v>1948.32</v>
      </c>
      <c r="M16" s="6" t="n">
        <f aca="false">L16-K16</f>
        <v>0</v>
      </c>
      <c r="N16" s="9" t="n">
        <v>10254.99</v>
      </c>
      <c r="O16" s="9" t="n">
        <v>10254.99</v>
      </c>
      <c r="P16" s="6" t="n">
        <f aca="false">O16-N16</f>
        <v>0</v>
      </c>
      <c r="Q16" s="9" t="n">
        <v>12203.31</v>
      </c>
      <c r="R16" s="9" t="n">
        <v>12203.31</v>
      </c>
      <c r="S16" s="6" t="n">
        <f aca="false">R16-Q16</f>
        <v>0</v>
      </c>
      <c r="T16" s="9" t="n">
        <v>323832.73</v>
      </c>
      <c r="U16" s="9" t="n">
        <v>331439.66</v>
      </c>
      <c r="V16" s="6" t="n">
        <f aca="false">U16-T16</f>
        <v>7606.92999999999</v>
      </c>
    </row>
    <row r="17" customFormat="false" ht="15" hidden="false" customHeight="false" outlineLevel="0" collapsed="false">
      <c r="A17" s="11" t="s">
        <v>34</v>
      </c>
      <c r="B17" s="12" t="n">
        <f aca="false">SUM(B5:B16)</f>
        <v>11730357.81</v>
      </c>
      <c r="C17" s="12" t="n">
        <f aca="false">SUM(C5:C16)</f>
        <v>11730357.81</v>
      </c>
      <c r="D17" s="12" t="n">
        <f aca="false">SUM(D5:D16)</f>
        <v>0</v>
      </c>
      <c r="E17" s="12" t="n">
        <f aca="false">SUM(E5:E16)</f>
        <v>3478128.4</v>
      </c>
      <c r="F17" s="12" t="n">
        <f aca="false">SUM(F5:F16)</f>
        <v>3478043.44</v>
      </c>
      <c r="G17" s="12" t="n">
        <f aca="false">SUM(G5:G16)</f>
        <v>-84.9599999999628</v>
      </c>
      <c r="H17" s="12" t="n">
        <f aca="false">SUM(H5:H16)</f>
        <v>23379.84</v>
      </c>
      <c r="I17" s="12" t="n">
        <f aca="false">SUM(I5:I16)</f>
        <v>23379.84</v>
      </c>
      <c r="J17" s="12" t="n">
        <f aca="false">SUM(J5:J16)</f>
        <v>0</v>
      </c>
      <c r="K17" s="12" t="n">
        <f aca="false">SUM(K5:K16)</f>
        <v>23379.84</v>
      </c>
      <c r="L17" s="12" t="n">
        <f aca="false">SUM(L5:L16)</f>
        <v>23379.84</v>
      </c>
      <c r="M17" s="12" t="n">
        <f aca="false">SUM(M5:M16)</f>
        <v>0</v>
      </c>
      <c r="N17" s="12" t="n">
        <f aca="false">SUM(N5:N16)</f>
        <v>115752.8</v>
      </c>
      <c r="O17" s="12" t="n">
        <f aca="false">SUM(O5:O16)</f>
        <v>115752.79</v>
      </c>
      <c r="P17" s="12" t="n">
        <f aca="false">SUM(P5:P16)</f>
        <v>-0.0100000000002183</v>
      </c>
      <c r="Q17" s="12" t="n">
        <f aca="false">SUM(Q5:Q16)</f>
        <v>139132.64</v>
      </c>
      <c r="R17" s="12" t="n">
        <f aca="false">SUM(R5:R16)</f>
        <v>139132.63</v>
      </c>
      <c r="S17" s="12" t="n">
        <f aca="false">SUM(S5:S16)</f>
        <v>-0.0100000000002183</v>
      </c>
      <c r="T17" s="12" t="n">
        <f aca="false">SUM(T5:T16)</f>
        <v>3604170.2</v>
      </c>
      <c r="U17" s="12" t="n">
        <f aca="false">SUM(U5:U16)</f>
        <v>3692787.9</v>
      </c>
      <c r="V17" s="12" t="n">
        <f aca="false">SUM(V5:V16)</f>
        <v>88617.7</v>
      </c>
    </row>
    <row r="19" customFormat="false" ht="15" hidden="false" customHeight="false" outlineLevel="0" collapsed="false">
      <c r="A19" s="1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23.85" hidden="false" customHeight="fals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</row>
    <row r="5" customFormat="false" ht="15" hidden="false" customHeight="false" outlineLevel="0" collapsed="false">
      <c r="A5" s="14" t="s">
        <v>83</v>
      </c>
      <c r="B5" s="15" t="n">
        <v>132</v>
      </c>
      <c r="C5" s="15" t="n">
        <v>132</v>
      </c>
      <c r="D5" s="9" t="n">
        <v>0</v>
      </c>
      <c r="E5" s="9" t="n">
        <v>11730357.81</v>
      </c>
      <c r="F5" s="9" t="n">
        <v>11730357.81</v>
      </c>
      <c r="G5" s="16" t="n">
        <f aca="false">F5-E5</f>
        <v>0</v>
      </c>
    </row>
    <row r="6" customFormat="false" ht="15" hidden="false" customHeight="false" outlineLevel="0" collapsed="false">
      <c r="A6" s="14" t="s">
        <v>84</v>
      </c>
      <c r="B6" s="15" t="n">
        <v>132</v>
      </c>
      <c r="C6" s="15" t="n">
        <v>37</v>
      </c>
      <c r="D6" s="9" t="n">
        <v>549.95</v>
      </c>
      <c r="E6" s="9" t="n">
        <v>3478128.4</v>
      </c>
      <c r="F6" s="9" t="n">
        <v>3478043.44</v>
      </c>
      <c r="G6" s="16" t="n">
        <f aca="false">F6-E6</f>
        <v>-84.9599999999628</v>
      </c>
    </row>
    <row r="7" customFormat="false" ht="15" hidden="false" customHeight="false" outlineLevel="0" collapsed="false">
      <c r="A7" s="14" t="s">
        <v>85</v>
      </c>
      <c r="B7" s="15" t="n">
        <v>132</v>
      </c>
      <c r="C7" s="15" t="n">
        <v>132</v>
      </c>
      <c r="D7" s="9" t="n">
        <v>0</v>
      </c>
      <c r="E7" s="9" t="n">
        <v>23379.84</v>
      </c>
      <c r="F7" s="9" t="n">
        <v>23379.84</v>
      </c>
      <c r="G7" s="16" t="n">
        <f aca="false">F7-E7</f>
        <v>0</v>
      </c>
    </row>
    <row r="8" customFormat="false" ht="15" hidden="false" customHeight="false" outlineLevel="0" collapsed="false">
      <c r="A8" s="14" t="s">
        <v>86</v>
      </c>
      <c r="B8" s="15" t="n">
        <v>132</v>
      </c>
      <c r="C8" s="15" t="n">
        <v>30</v>
      </c>
      <c r="D8" s="9" t="n">
        <v>7607.25</v>
      </c>
      <c r="E8" s="9" t="n">
        <v>3604170.2</v>
      </c>
      <c r="F8" s="9" t="n">
        <v>3692787.9</v>
      </c>
      <c r="G8" s="16" t="n">
        <f aca="false">F8-E8</f>
        <v>88617.6999999997</v>
      </c>
    </row>
    <row r="9" customFormat="false" ht="15" hidden="false" customHeight="false" outlineLevel="0" collapsed="false">
      <c r="A9" s="14" t="s">
        <v>87</v>
      </c>
      <c r="B9" s="15" t="n">
        <v>132</v>
      </c>
      <c r="C9" s="15" t="n">
        <v>132</v>
      </c>
      <c r="D9" s="9" t="n">
        <v>0.01</v>
      </c>
      <c r="E9" s="9" t="n">
        <v>115752.8</v>
      </c>
      <c r="F9" s="9" t="n">
        <v>115752.79</v>
      </c>
      <c r="G9" s="16" t="n">
        <f aca="false">F9-E9</f>
        <v>-0.0100000000093132</v>
      </c>
    </row>
    <row r="10" customFormat="false" ht="15" hidden="false" customHeight="false" outlineLevel="0" collapsed="false">
      <c r="A10" s="14" t="s">
        <v>88</v>
      </c>
      <c r="B10" s="15" t="n">
        <v>132</v>
      </c>
      <c r="C10" s="15" t="n">
        <v>132</v>
      </c>
      <c r="D10" s="9" t="n">
        <v>0</v>
      </c>
      <c r="E10" s="9" t="n">
        <v>23379.84</v>
      </c>
      <c r="F10" s="9" t="n">
        <v>23379.84</v>
      </c>
      <c r="G10" s="16" t="n">
        <f aca="false">F10-E10</f>
        <v>0</v>
      </c>
    </row>
    <row r="11" customFormat="false" ht="15" hidden="false" customHeight="false" outlineLevel="0" collapsed="false">
      <c r="A11" s="14" t="s">
        <v>89</v>
      </c>
      <c r="B11" s="15" t="n">
        <v>132</v>
      </c>
      <c r="C11" s="15" t="n">
        <v>132</v>
      </c>
      <c r="D11" s="9" t="n">
        <v>0.01</v>
      </c>
      <c r="E11" s="9" t="n">
        <v>139132.64</v>
      </c>
      <c r="F11" s="9" t="n">
        <v>139132.63</v>
      </c>
      <c r="G11" s="16" t="n">
        <f aca="false">F11-E11</f>
        <v>-0.0100000000093132</v>
      </c>
    </row>
    <row r="12" customFormat="false" ht="15" hidden="false" customHeight="false" outlineLevel="0" collapsed="false">
      <c r="A12" s="14" t="s">
        <v>90</v>
      </c>
      <c r="B12" s="15" t="n">
        <v>132</v>
      </c>
      <c r="C12" s="15" t="n">
        <v>132</v>
      </c>
      <c r="D12" s="9" t="n">
        <v>0</v>
      </c>
      <c r="E12" s="9" t="n">
        <v>7477489</v>
      </c>
      <c r="F12" s="9" t="n">
        <v>7477489</v>
      </c>
      <c r="G12" s="16" t="n">
        <f aca="false">F12-E12</f>
        <v>0</v>
      </c>
    </row>
    <row r="13" customFormat="false" ht="15" hidden="false" customHeight="false" outlineLevel="0" collapsed="false">
      <c r="A13" s="14" t="s">
        <v>91</v>
      </c>
      <c r="B13" s="15" t="n">
        <v>108</v>
      </c>
      <c r="C13" s="15" t="n">
        <v>108</v>
      </c>
      <c r="D13" s="9" t="n">
        <v>0</v>
      </c>
      <c r="E13" s="9" t="n">
        <v>165240</v>
      </c>
      <c r="F13" s="9" t="n">
        <v>165240</v>
      </c>
      <c r="G13" s="16" t="n">
        <f aca="false">F13-E13</f>
        <v>0</v>
      </c>
    </row>
    <row r="14" customFormat="false" ht="15" hidden="false" customHeight="false" outlineLevel="0" collapsed="false">
      <c r="A14" s="14" t="s">
        <v>92</v>
      </c>
      <c r="B14" s="15" t="n">
        <v>132</v>
      </c>
      <c r="C14" s="15" t="n">
        <v>132</v>
      </c>
      <c r="D14" s="9" t="n">
        <v>0</v>
      </c>
      <c r="E14" s="9" t="n">
        <v>21319.14</v>
      </c>
      <c r="F14" s="9" t="n">
        <v>21319.14</v>
      </c>
      <c r="G14" s="16" t="n">
        <f aca="false">F14-E14</f>
        <v>0</v>
      </c>
    </row>
    <row r="15" customFormat="false" ht="15" hidden="false" customHeight="false" outlineLevel="0" collapsed="false">
      <c r="A15" s="14" t="s">
        <v>93</v>
      </c>
      <c r="B15" s="15" t="n">
        <v>48</v>
      </c>
      <c r="C15" s="15" t="n">
        <v>48</v>
      </c>
      <c r="D15" s="9" t="n">
        <v>0</v>
      </c>
      <c r="E15" s="9" t="n">
        <v>47772.26</v>
      </c>
      <c r="F15" s="9" t="n">
        <v>47772.26</v>
      </c>
      <c r="G15" s="16" t="n">
        <f aca="false">F15-E15</f>
        <v>0</v>
      </c>
    </row>
    <row r="16" customFormat="false" ht="15" hidden="false" customHeight="false" outlineLevel="0" collapsed="false">
      <c r="A16" s="14" t="s">
        <v>94</v>
      </c>
      <c r="B16" s="15" t="n">
        <v>72</v>
      </c>
      <c r="C16" s="15" t="n">
        <v>72</v>
      </c>
      <c r="D16" s="9" t="n">
        <v>0</v>
      </c>
      <c r="E16" s="9" t="n">
        <v>1308244.86</v>
      </c>
      <c r="F16" s="9" t="n">
        <v>1308244.86</v>
      </c>
      <c r="G16" s="16" t="n">
        <f aca="false">F16-E16</f>
        <v>0</v>
      </c>
    </row>
    <row r="17" customFormat="false" ht="15" hidden="false" customHeight="false" outlineLevel="0" collapsed="false">
      <c r="A17" s="14" t="s">
        <v>95</v>
      </c>
      <c r="B17" s="15" t="n">
        <v>108</v>
      </c>
      <c r="C17" s="15" t="n">
        <v>108</v>
      </c>
      <c r="D17" s="9" t="n">
        <v>0</v>
      </c>
      <c r="E17" s="9" t="n">
        <v>7380</v>
      </c>
      <c r="F17" s="9" t="n">
        <v>7380</v>
      </c>
      <c r="G17" s="16" t="n">
        <f aca="false">F17-E17</f>
        <v>0</v>
      </c>
    </row>
    <row r="18" customFormat="false" ht="15" hidden="false" customHeight="false" outlineLevel="0" collapsed="false">
      <c r="A18" s="14" t="s">
        <v>96</v>
      </c>
      <c r="B18" s="15" t="n">
        <v>132</v>
      </c>
      <c r="C18" s="15" t="n">
        <v>132</v>
      </c>
      <c r="D18" s="9" t="n">
        <v>0</v>
      </c>
      <c r="E18" s="9" t="n">
        <v>21319.14</v>
      </c>
      <c r="F18" s="9" t="n">
        <v>21319.14</v>
      </c>
      <c r="G18" s="16" t="n">
        <f aca="false">F18-E18</f>
        <v>0</v>
      </c>
    </row>
    <row r="19" customFormat="false" ht="15" hidden="false" customHeight="false" outlineLevel="0" collapsed="false">
      <c r="A19" s="14" t="s">
        <v>97</v>
      </c>
      <c r="B19" s="15" t="n">
        <v>60</v>
      </c>
      <c r="C19" s="15" t="n">
        <v>60</v>
      </c>
      <c r="D19" s="9" t="n">
        <v>0</v>
      </c>
      <c r="E19" s="9" t="n">
        <v>19643.58</v>
      </c>
      <c r="F19" s="9" t="n">
        <v>19643.58</v>
      </c>
      <c r="G19" s="16" t="n">
        <f aca="false">F19-E19</f>
        <v>0</v>
      </c>
    </row>
    <row r="20" customFormat="false" ht="15" hidden="false" customHeight="false" outlineLevel="0" collapsed="false">
      <c r="A20" s="14" t="s">
        <v>98</v>
      </c>
      <c r="B20" s="15" t="n">
        <v>24</v>
      </c>
      <c r="C20" s="15" t="n">
        <v>24</v>
      </c>
      <c r="D20" s="9" t="n">
        <v>0</v>
      </c>
      <c r="E20" s="9" t="n">
        <v>1873640.3</v>
      </c>
      <c r="F20" s="9" t="n">
        <v>1873640.3</v>
      </c>
      <c r="G20" s="16" t="n">
        <f aca="false">F20-E20</f>
        <v>0</v>
      </c>
    </row>
    <row r="21" customFormat="false" ht="15" hidden="false" customHeight="false" outlineLevel="0" collapsed="false">
      <c r="A21" s="14" t="s">
        <v>99</v>
      </c>
      <c r="B21" s="15" t="n">
        <v>12</v>
      </c>
      <c r="C21" s="15" t="n">
        <v>12</v>
      </c>
      <c r="D21" s="9" t="n">
        <v>0</v>
      </c>
      <c r="E21" s="9" t="n">
        <v>95000</v>
      </c>
      <c r="F21" s="9" t="n">
        <v>95000</v>
      </c>
      <c r="G21" s="16" t="n">
        <f aca="false">F21-E21</f>
        <v>0</v>
      </c>
    </row>
    <row r="22" customFormat="false" ht="15" hidden="false" customHeight="false" outlineLevel="0" collapsed="false">
      <c r="A22" s="14" t="s">
        <v>100</v>
      </c>
      <c r="B22" s="15" t="n">
        <v>24</v>
      </c>
      <c r="C22" s="15" t="n">
        <v>24</v>
      </c>
      <c r="D22" s="9" t="n">
        <v>0</v>
      </c>
      <c r="E22" s="9" t="n">
        <v>5649.24</v>
      </c>
      <c r="F22" s="9" t="n">
        <v>5649.24</v>
      </c>
      <c r="G22" s="16" t="n">
        <f aca="false">F22-E22</f>
        <v>0</v>
      </c>
    </row>
    <row r="23" customFormat="false" ht="15" hidden="false" customHeight="false" outlineLevel="0" collapsed="false">
      <c r="A23" s="14" t="s">
        <v>101</v>
      </c>
      <c r="B23" s="15" t="n">
        <v>12</v>
      </c>
      <c r="C23" s="15" t="n">
        <v>12</v>
      </c>
      <c r="D23" s="9" t="n">
        <v>0</v>
      </c>
      <c r="E23" s="9" t="n">
        <v>56050</v>
      </c>
      <c r="F23" s="9" t="n">
        <v>56050</v>
      </c>
      <c r="G23" s="16" t="n">
        <f aca="false">F23-E23</f>
        <v>0</v>
      </c>
    </row>
    <row r="24" customFormat="false" ht="15" hidden="false" customHeight="false" outlineLevel="0" collapsed="false">
      <c r="A24" s="14" t="s">
        <v>102</v>
      </c>
      <c r="B24" s="15" t="n">
        <v>12</v>
      </c>
      <c r="C24" s="15" t="n">
        <v>12</v>
      </c>
      <c r="D24" s="9" t="n">
        <v>0</v>
      </c>
      <c r="E24" s="9" t="n">
        <v>70000</v>
      </c>
      <c r="F24" s="9" t="n">
        <v>70000</v>
      </c>
      <c r="G24" s="16" t="n">
        <f aca="false">F24-E24</f>
        <v>0</v>
      </c>
    </row>
    <row r="25" customFormat="false" ht="15" hidden="false" customHeight="false" outlineLevel="0" collapsed="false">
      <c r="A25" s="14" t="s">
        <v>103</v>
      </c>
      <c r="B25" s="15" t="n">
        <v>36</v>
      </c>
      <c r="C25" s="15" t="n">
        <v>36</v>
      </c>
      <c r="D25" s="9" t="n">
        <v>0</v>
      </c>
      <c r="E25" s="9" t="n">
        <v>645664</v>
      </c>
      <c r="F25" s="9" t="n">
        <v>645664</v>
      </c>
      <c r="G25" s="16" t="n">
        <f aca="false">F25-E25</f>
        <v>0</v>
      </c>
    </row>
    <row r="26" customFormat="false" ht="15" hidden="false" customHeight="false" outlineLevel="0" collapsed="false">
      <c r="A26" s="14" t="s">
        <v>104</v>
      </c>
      <c r="B26" s="15" t="n">
        <v>48</v>
      </c>
      <c r="C26" s="15" t="n">
        <v>48</v>
      </c>
      <c r="D26" s="9" t="n">
        <v>0</v>
      </c>
      <c r="E26" s="9" t="n">
        <v>18608.25</v>
      </c>
      <c r="F26" s="9" t="n">
        <v>18608.25</v>
      </c>
      <c r="G26" s="16" t="n">
        <f aca="false">F26-E26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3" t="s">
        <v>109</v>
      </c>
    </row>
    <row r="5" customFormat="false" ht="15" hidden="false" customHeight="false" outlineLevel="0" collapsed="false">
      <c r="A5" s="4" t="s">
        <v>110</v>
      </c>
      <c r="B5" s="15" t="n">
        <v>93</v>
      </c>
      <c r="C5" s="17" t="s">
        <v>111</v>
      </c>
    </row>
    <row r="6" customFormat="false" ht="15" hidden="false" customHeight="false" outlineLevel="0" collapsed="false">
      <c r="A6" s="4" t="s">
        <v>112</v>
      </c>
      <c r="B6" s="15" t="n">
        <v>14</v>
      </c>
      <c r="C6" s="17" t="s">
        <v>113</v>
      </c>
    </row>
    <row r="7" customFormat="false" ht="23.85" hidden="false" customHeight="false" outlineLevel="0" collapsed="false">
      <c r="A7" s="4" t="s">
        <v>114</v>
      </c>
      <c r="B7" s="15" t="n">
        <v>22</v>
      </c>
      <c r="C7" s="17" t="s">
        <v>115</v>
      </c>
    </row>
    <row r="8" customFormat="false" ht="23.85" hidden="false" customHeight="false" outlineLevel="0" collapsed="false">
      <c r="A8" s="4" t="s">
        <v>116</v>
      </c>
      <c r="B8" s="15" t="n">
        <v>3</v>
      </c>
      <c r="C8" s="17" t="s">
        <v>117</v>
      </c>
    </row>
    <row r="9" customFormat="false" ht="15" hidden="false" customHeight="false" outlineLevel="0" collapsed="false">
      <c r="A9" s="11" t="s">
        <v>118</v>
      </c>
      <c r="B9" s="11" t="n">
        <f aca="false">SUM(B5:B8)</f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8" min="7" style="0" width="6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23.85" hidden="false" customHeight="false" outlineLevel="0" collapsed="false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87</v>
      </c>
      <c r="I4" s="3" t="s">
        <v>128</v>
      </c>
      <c r="J4" s="3" t="s">
        <v>129</v>
      </c>
    </row>
    <row r="5" customFormat="false" ht="15" hidden="false" customHeight="false" outlineLevel="0" collapsed="false">
      <c r="A5" s="17" t="s">
        <v>130</v>
      </c>
      <c r="B5" s="17" t="s">
        <v>131</v>
      </c>
      <c r="C5" s="17" t="s">
        <v>130</v>
      </c>
      <c r="D5" s="17" t="s">
        <v>132</v>
      </c>
      <c r="E5" s="17" t="s">
        <v>133</v>
      </c>
      <c r="F5" s="17" t="n">
        <v>100</v>
      </c>
      <c r="G5" s="17" t="n">
        <v>1</v>
      </c>
      <c r="H5" s="17" t="n">
        <v>1</v>
      </c>
      <c r="I5" s="17" t="n">
        <v>1</v>
      </c>
      <c r="J5" s="17" t="s">
        <v>134</v>
      </c>
    </row>
    <row r="6" customFormat="false" ht="15" hidden="false" customHeight="false" outlineLevel="0" collapsed="false">
      <c r="A6" s="17" t="s">
        <v>135</v>
      </c>
      <c r="B6" s="17" t="s">
        <v>131</v>
      </c>
      <c r="C6" s="17" t="s">
        <v>135</v>
      </c>
      <c r="D6" s="17" t="s">
        <v>136</v>
      </c>
      <c r="E6" s="17" t="s">
        <v>133</v>
      </c>
      <c r="F6" s="17" t="n">
        <v>100</v>
      </c>
      <c r="G6" s="17" t="n">
        <v>1</v>
      </c>
      <c r="H6" s="17" t="n">
        <v>1</v>
      </c>
      <c r="I6" s="17" t="n">
        <v>1</v>
      </c>
      <c r="J6" s="17" t="s">
        <v>137</v>
      </c>
    </row>
    <row r="7" customFormat="false" ht="15" hidden="false" customHeight="false" outlineLevel="0" collapsed="false">
      <c r="A7" s="17" t="s">
        <v>138</v>
      </c>
      <c r="B7" s="17" t="s">
        <v>131</v>
      </c>
      <c r="C7" s="17" t="s">
        <v>139</v>
      </c>
      <c r="D7" s="17" t="s">
        <v>136</v>
      </c>
      <c r="E7" s="17" t="s">
        <v>133</v>
      </c>
      <c r="F7" s="17" t="n">
        <v>100</v>
      </c>
      <c r="G7" s="17" t="n">
        <v>1</v>
      </c>
      <c r="H7" s="17" t="n">
        <v>1</v>
      </c>
      <c r="I7" s="17" t="n">
        <v>1</v>
      </c>
      <c r="J7" s="17" t="s">
        <v>140</v>
      </c>
    </row>
    <row r="8" customFormat="false" ht="15" hidden="false" customHeight="false" outlineLevel="0" collapsed="false">
      <c r="A8" s="17" t="s">
        <v>141</v>
      </c>
      <c r="B8" s="17" t="s">
        <v>131</v>
      </c>
      <c r="C8" s="17" t="s">
        <v>142</v>
      </c>
      <c r="D8" s="17" t="s">
        <v>143</v>
      </c>
      <c r="E8" s="17" t="s">
        <v>133</v>
      </c>
      <c r="F8" s="17" t="n">
        <v>100</v>
      </c>
      <c r="G8" s="17" t="n">
        <v>1</v>
      </c>
      <c r="H8" s="17" t="n">
        <v>1</v>
      </c>
      <c r="I8" s="17" t="n">
        <v>1</v>
      </c>
      <c r="J8" s="17" t="s">
        <v>144</v>
      </c>
    </row>
    <row r="9" customFormat="false" ht="15" hidden="false" customHeight="false" outlineLevel="0" collapsed="false">
      <c r="A9" s="17" t="s">
        <v>145</v>
      </c>
      <c r="B9" s="17" t="s">
        <v>131</v>
      </c>
      <c r="C9" s="17" t="s">
        <v>145</v>
      </c>
      <c r="D9" s="17" t="s">
        <v>132</v>
      </c>
      <c r="E9" s="17" t="s">
        <v>133</v>
      </c>
      <c r="F9" s="17" t="n">
        <v>100</v>
      </c>
      <c r="G9" s="17" t="n">
        <v>1</v>
      </c>
      <c r="H9" s="17" t="n">
        <v>1</v>
      </c>
      <c r="I9" s="17" t="n">
        <v>1</v>
      </c>
      <c r="J9" s="17" t="s">
        <v>146</v>
      </c>
    </row>
    <row r="10" customFormat="false" ht="15" hidden="false" customHeight="false" outlineLevel="0" collapsed="false">
      <c r="A10" s="17" t="s">
        <v>147</v>
      </c>
      <c r="B10" s="17" t="s">
        <v>131</v>
      </c>
      <c r="C10" s="17" t="s">
        <v>147</v>
      </c>
      <c r="D10" s="17" t="s">
        <v>148</v>
      </c>
      <c r="E10" s="17" t="s">
        <v>149</v>
      </c>
      <c r="F10" s="17" t="n">
        <v>100</v>
      </c>
      <c r="G10" s="17" t="n">
        <v>1</v>
      </c>
      <c r="H10" s="17" t="n">
        <v>1</v>
      </c>
      <c r="I10" s="17" t="n">
        <v>1</v>
      </c>
      <c r="J10" s="17" t="s">
        <v>150</v>
      </c>
    </row>
    <row r="11" customFormat="false" ht="15" hidden="false" customHeight="false" outlineLevel="0" collapsed="false">
      <c r="A11" s="17" t="s">
        <v>151</v>
      </c>
      <c r="B11" s="17" t="s">
        <v>131</v>
      </c>
      <c r="C11" s="17" t="s">
        <v>151</v>
      </c>
      <c r="D11" s="17" t="s">
        <v>148</v>
      </c>
      <c r="E11" s="17" t="s">
        <v>149</v>
      </c>
      <c r="F11" s="17" t="n">
        <v>100</v>
      </c>
      <c r="G11" s="17" t="n">
        <v>1</v>
      </c>
      <c r="H11" s="17" t="n">
        <v>1</v>
      </c>
      <c r="I11" s="17" t="n">
        <v>1</v>
      </c>
      <c r="J11" s="17" t="s">
        <v>152</v>
      </c>
    </row>
    <row r="12" customFormat="false" ht="15" hidden="false" customHeight="false" outlineLevel="0" collapsed="false">
      <c r="A12" s="17" t="s">
        <v>153</v>
      </c>
      <c r="B12" s="17" t="s">
        <v>131</v>
      </c>
      <c r="C12" s="17" t="s">
        <v>153</v>
      </c>
      <c r="D12" s="17" t="s">
        <v>154</v>
      </c>
      <c r="E12" s="17" t="s">
        <v>155</v>
      </c>
      <c r="F12" s="17" t="n">
        <v>100</v>
      </c>
      <c r="G12" s="17" t="n">
        <v>1</v>
      </c>
      <c r="H12" s="17" t="n">
        <v>1</v>
      </c>
      <c r="I12" s="17" t="n">
        <v>1</v>
      </c>
      <c r="J12" s="17" t="s">
        <v>156</v>
      </c>
    </row>
    <row r="13" customFormat="false" ht="15" hidden="false" customHeight="false" outlineLevel="0" collapsed="false">
      <c r="A13" s="17" t="s">
        <v>157</v>
      </c>
      <c r="B13" s="17" t="s">
        <v>131</v>
      </c>
      <c r="C13" s="17" t="s">
        <v>157</v>
      </c>
      <c r="D13" s="17" t="s">
        <v>154</v>
      </c>
      <c r="E13" s="17" t="s">
        <v>133</v>
      </c>
      <c r="F13" s="17" t="n">
        <v>100</v>
      </c>
      <c r="G13" s="17" t="n">
        <v>1</v>
      </c>
      <c r="H13" s="17" t="n">
        <v>1</v>
      </c>
      <c r="I13" s="17" t="n">
        <v>1</v>
      </c>
      <c r="J13" s="17" t="s">
        <v>158</v>
      </c>
    </row>
    <row r="14" customFormat="false" ht="15" hidden="false" customHeight="false" outlineLevel="0" collapsed="false">
      <c r="A14" s="17" t="s">
        <v>159</v>
      </c>
      <c r="B14" s="17" t="s">
        <v>131</v>
      </c>
      <c r="C14" s="17" t="s">
        <v>159</v>
      </c>
      <c r="D14" s="17" t="s">
        <v>160</v>
      </c>
      <c r="E14" s="17" t="s">
        <v>161</v>
      </c>
      <c r="F14" s="17" t="n">
        <v>0</v>
      </c>
      <c r="G14" s="17" t="n">
        <v>0</v>
      </c>
      <c r="H14" s="17" t="n">
        <v>0</v>
      </c>
      <c r="I14" s="17" t="n">
        <v>0</v>
      </c>
      <c r="J14" s="17" t="s">
        <v>162</v>
      </c>
    </row>
    <row r="15" customFormat="false" ht="15" hidden="false" customHeight="false" outlineLevel="0" collapsed="false">
      <c r="A15" s="17" t="s">
        <v>163</v>
      </c>
      <c r="B15" s="17" t="s">
        <v>131</v>
      </c>
      <c r="C15" s="17" t="s">
        <v>163</v>
      </c>
      <c r="D15" s="17" t="s">
        <v>160</v>
      </c>
      <c r="E15" s="17" t="s">
        <v>161</v>
      </c>
      <c r="F15" s="17" t="n">
        <v>0</v>
      </c>
      <c r="G15" s="17" t="n">
        <v>0</v>
      </c>
      <c r="H15" s="17" t="n">
        <v>0</v>
      </c>
      <c r="I15" s="17" t="n">
        <v>0</v>
      </c>
      <c r="J15" s="17" t="s">
        <v>162</v>
      </c>
    </row>
    <row r="16" customFormat="false" ht="15" hidden="false" customHeight="false" outlineLevel="0" collapsed="false">
      <c r="A16" s="17" t="s">
        <v>164</v>
      </c>
      <c r="B16" s="17" t="s">
        <v>165</v>
      </c>
      <c r="C16" s="17" t="s">
        <v>166</v>
      </c>
      <c r="D16" s="17" t="s">
        <v>167</v>
      </c>
      <c r="E16" s="17" t="s">
        <v>168</v>
      </c>
      <c r="F16" s="17" t="n">
        <v>0</v>
      </c>
      <c r="G16" s="17" t="n">
        <v>0</v>
      </c>
      <c r="H16" s="17" t="n">
        <v>0</v>
      </c>
      <c r="I16" s="17" t="n">
        <v>0</v>
      </c>
      <c r="J16" s="17" t="s">
        <v>169</v>
      </c>
    </row>
    <row r="17" customFormat="false" ht="15" hidden="false" customHeight="false" outlineLevel="0" collapsed="false">
      <c r="A17" s="17" t="s">
        <v>170</v>
      </c>
      <c r="B17" s="17" t="s">
        <v>165</v>
      </c>
      <c r="C17" s="17" t="s">
        <v>170</v>
      </c>
      <c r="D17" s="17" t="s">
        <v>167</v>
      </c>
      <c r="E17" s="17" t="s">
        <v>168</v>
      </c>
      <c r="F17" s="17" t="n">
        <v>0</v>
      </c>
      <c r="G17" s="17" t="n">
        <v>0</v>
      </c>
      <c r="H17" s="17" t="n">
        <v>0</v>
      </c>
      <c r="I17" s="17" t="n">
        <v>0</v>
      </c>
      <c r="J17" s="17" t="s">
        <v>171</v>
      </c>
    </row>
    <row r="18" customFormat="false" ht="15" hidden="false" customHeight="false" outlineLevel="0" collapsed="false">
      <c r="A18" s="17" t="s">
        <v>172</v>
      </c>
      <c r="B18" s="17" t="s">
        <v>165</v>
      </c>
      <c r="C18" s="17" t="s">
        <v>172</v>
      </c>
      <c r="D18" s="17" t="s">
        <v>167</v>
      </c>
      <c r="E18" s="17" t="s">
        <v>168</v>
      </c>
      <c r="F18" s="17" t="n">
        <v>0</v>
      </c>
      <c r="G18" s="17" t="n">
        <v>0</v>
      </c>
      <c r="H18" s="17" t="n">
        <v>0</v>
      </c>
      <c r="I18" s="17" t="n">
        <v>0</v>
      </c>
      <c r="J18" s="17" t="s">
        <v>171</v>
      </c>
    </row>
    <row r="19" customFormat="false" ht="15" hidden="false" customHeight="false" outlineLevel="0" collapsed="false">
      <c r="A19" s="17" t="s">
        <v>173</v>
      </c>
      <c r="B19" s="17" t="s">
        <v>165</v>
      </c>
      <c r="C19" s="17" t="s">
        <v>173</v>
      </c>
      <c r="D19" s="17" t="s">
        <v>167</v>
      </c>
      <c r="E19" s="17" t="s">
        <v>168</v>
      </c>
      <c r="F19" s="17" t="n">
        <v>0</v>
      </c>
      <c r="G19" s="17" t="n">
        <v>0</v>
      </c>
      <c r="H19" s="17" t="n">
        <v>0</v>
      </c>
      <c r="I19" s="17" t="n">
        <v>0</v>
      </c>
      <c r="J19" s="17" t="s">
        <v>171</v>
      </c>
    </row>
    <row r="20" customFormat="false" ht="15" hidden="false" customHeight="false" outlineLevel="0" collapsed="false">
      <c r="A20" s="17" t="s">
        <v>174</v>
      </c>
      <c r="B20" s="17" t="s">
        <v>165</v>
      </c>
      <c r="C20" s="17" t="s">
        <v>175</v>
      </c>
      <c r="D20" s="17" t="s">
        <v>176</v>
      </c>
      <c r="E20" s="17" t="s">
        <v>177</v>
      </c>
      <c r="F20" s="17" t="n">
        <v>0</v>
      </c>
      <c r="G20" s="17" t="n">
        <v>0</v>
      </c>
      <c r="H20" s="17" t="n">
        <v>0</v>
      </c>
      <c r="I20" s="17" t="n">
        <v>0</v>
      </c>
      <c r="J20" s="17" t="s">
        <v>178</v>
      </c>
    </row>
    <row r="21" customFormat="false" ht="15" hidden="false" customHeight="false" outlineLevel="0" collapsed="false">
      <c r="A21" s="17" t="s">
        <v>84</v>
      </c>
      <c r="B21" s="17" t="s">
        <v>165</v>
      </c>
      <c r="C21" s="17" t="s">
        <v>84</v>
      </c>
      <c r="D21" s="17" t="s">
        <v>179</v>
      </c>
      <c r="E21" s="17" t="s">
        <v>84</v>
      </c>
      <c r="F21" s="17" t="n">
        <v>0</v>
      </c>
      <c r="G21" s="17" t="n">
        <v>0</v>
      </c>
      <c r="H21" s="17" t="n">
        <v>0</v>
      </c>
      <c r="I21" s="17" t="n">
        <v>0</v>
      </c>
      <c r="J21" s="17" t="s">
        <v>180</v>
      </c>
    </row>
    <row r="22" customFormat="false" ht="15" hidden="false" customHeight="false" outlineLevel="0" collapsed="false">
      <c r="A22" s="17" t="s">
        <v>181</v>
      </c>
      <c r="B22" s="17" t="s">
        <v>165</v>
      </c>
      <c r="C22" s="17" t="s">
        <v>127</v>
      </c>
      <c r="D22" s="17" t="s">
        <v>182</v>
      </c>
      <c r="E22" s="17" t="s">
        <v>127</v>
      </c>
      <c r="F22" s="17" t="n">
        <v>0</v>
      </c>
      <c r="G22" s="17" t="n">
        <v>0</v>
      </c>
      <c r="H22" s="17" t="n">
        <v>0</v>
      </c>
      <c r="I22" s="17" t="n">
        <v>0</v>
      </c>
      <c r="J22" s="17" t="s">
        <v>183</v>
      </c>
    </row>
    <row r="23" customFormat="false" ht="23.85" hidden="false" customHeight="false" outlineLevel="0" collapsed="false">
      <c r="A23" s="17" t="s">
        <v>184</v>
      </c>
      <c r="B23" s="17" t="s">
        <v>185</v>
      </c>
      <c r="C23" s="17" t="s">
        <v>186</v>
      </c>
      <c r="D23" s="17" t="s">
        <v>182</v>
      </c>
      <c r="E23" s="17" t="s">
        <v>127</v>
      </c>
      <c r="F23" s="17" t="n">
        <v>0</v>
      </c>
      <c r="G23" s="17" t="n">
        <v>0</v>
      </c>
      <c r="H23" s="17" t="n">
        <v>0</v>
      </c>
      <c r="I23" s="17" t="n">
        <v>0</v>
      </c>
      <c r="J23" s="17" t="s">
        <v>187</v>
      </c>
    </row>
    <row r="24" customFormat="false" ht="23.85" hidden="false" customHeight="false" outlineLevel="0" collapsed="false">
      <c r="A24" s="17" t="s">
        <v>188</v>
      </c>
      <c r="B24" s="17" t="s">
        <v>185</v>
      </c>
      <c r="C24" s="17" t="s">
        <v>87</v>
      </c>
      <c r="D24" s="17" t="s">
        <v>189</v>
      </c>
      <c r="E24" s="17" t="s">
        <v>87</v>
      </c>
      <c r="F24" s="17" t="n">
        <v>0</v>
      </c>
      <c r="G24" s="17" t="n">
        <v>0</v>
      </c>
      <c r="H24" s="17" t="n">
        <v>0</v>
      </c>
      <c r="I24" s="17" t="n">
        <v>0</v>
      </c>
      <c r="J24" s="17" t="s">
        <v>190</v>
      </c>
    </row>
    <row r="26" customFormat="false" ht="30" hidden="false" customHeight="true" outlineLevel="0" collapsed="false">
      <c r="A26" s="8" t="s">
        <v>191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30" hidden="false" customHeight="true" outlineLevel="0" collapsed="false">
      <c r="A27" s="8" t="s">
        <v>192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30" hidden="false" customHeight="true" outlineLevel="0" collapsed="false">
      <c r="A28" s="8" t="s">
        <v>193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30" hidden="false" customHeight="true" outlineLevel="0" collapsed="false">
      <c r="A29" s="8" t="s">
        <v>194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30" hidden="false" customHeight="true" outlineLevel="0" collapsed="false">
      <c r="A30" s="8" t="s">
        <v>195</v>
      </c>
      <c r="B30" s="8"/>
      <c r="C30" s="8"/>
      <c r="D30" s="8"/>
      <c r="E30" s="8"/>
      <c r="F30" s="8"/>
      <c r="G30" s="8"/>
      <c r="H30" s="8"/>
      <c r="I30" s="8"/>
      <c r="J30" s="8"/>
    </row>
    <row r="31" customFormat="false" ht="30" hidden="false" customHeight="true" outlineLevel="0" collapsed="false">
      <c r="A31" s="8" t="s">
        <v>196</v>
      </c>
      <c r="B31" s="8"/>
      <c r="C31" s="8"/>
      <c r="D31" s="8"/>
      <c r="E31" s="8"/>
      <c r="F31" s="8"/>
      <c r="G31" s="8"/>
      <c r="H31" s="8"/>
      <c r="I31" s="8"/>
      <c r="J31" s="8"/>
    </row>
  </sheetData>
  <mergeCells count="6">
    <mergeCell ref="A26:J26"/>
    <mergeCell ref="A27:J27"/>
    <mergeCell ref="A28:J28"/>
    <mergeCell ref="A29:J29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750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3" t="s">
        <v>21</v>
      </c>
      <c r="B4" s="3" t="s">
        <v>199</v>
      </c>
      <c r="C4" s="3" t="s">
        <v>200</v>
      </c>
      <c r="D4" s="3" t="s">
        <v>201</v>
      </c>
    </row>
    <row r="5" customFormat="false" ht="15" hidden="false" customHeight="false" outlineLevel="0" collapsed="false">
      <c r="A5" s="4" t="s">
        <v>35</v>
      </c>
      <c r="B5" s="9" t="n">
        <v>635382</v>
      </c>
      <c r="C5" s="9" t="n">
        <v>191838.92</v>
      </c>
      <c r="D5" s="18" t="n">
        <v>7</v>
      </c>
    </row>
    <row r="6" customFormat="false" ht="15" hidden="false" customHeight="false" outlineLevel="0" collapsed="false">
      <c r="A6" s="4" t="s">
        <v>36</v>
      </c>
      <c r="B6" s="9" t="n">
        <v>934599</v>
      </c>
      <c r="C6" s="9" t="n">
        <v>314517.9</v>
      </c>
      <c r="D6" s="18" t="n">
        <v>7</v>
      </c>
    </row>
    <row r="7" customFormat="false" ht="15" hidden="false" customHeight="false" outlineLevel="0" collapsed="false">
      <c r="A7" s="4" t="s">
        <v>37</v>
      </c>
      <c r="B7" s="9" t="n">
        <v>301328</v>
      </c>
      <c r="C7" s="9" t="n">
        <v>61487.01</v>
      </c>
      <c r="D7" s="18" t="n">
        <v>7</v>
      </c>
    </row>
    <row r="8" customFormat="false" ht="15" hidden="false" customHeight="false" outlineLevel="0" collapsed="false">
      <c r="A8" s="4" t="s">
        <v>38</v>
      </c>
      <c r="B8" s="9" t="n">
        <v>1176075</v>
      </c>
      <c r="C8" s="9" t="n">
        <v>418169.38</v>
      </c>
      <c r="D8" s="18" t="n">
        <v>7</v>
      </c>
    </row>
    <row r="9" customFormat="false" ht="15" hidden="false" customHeight="false" outlineLevel="0" collapsed="false">
      <c r="A9" s="4" t="s">
        <v>39</v>
      </c>
      <c r="B9" s="9" t="n">
        <v>391982</v>
      </c>
      <c r="C9" s="9" t="n">
        <v>94232.17</v>
      </c>
      <c r="D9" s="18" t="n">
        <v>7</v>
      </c>
    </row>
    <row r="10" customFormat="false" ht="15" hidden="false" customHeight="false" outlineLevel="0" collapsed="false">
      <c r="A10" s="4" t="s">
        <v>40</v>
      </c>
      <c r="B10" s="9" t="n">
        <v>1090632</v>
      </c>
      <c r="C10" s="9" t="n">
        <v>377172.03</v>
      </c>
      <c r="D10" s="18" t="n">
        <v>7</v>
      </c>
    </row>
    <row r="11" customFormat="false" ht="15" hidden="false" customHeight="false" outlineLevel="0" collapsed="false">
      <c r="A11" s="4" t="s">
        <v>41</v>
      </c>
      <c r="B11" s="9" t="n">
        <v>318782</v>
      </c>
      <c r="C11" s="9" t="n">
        <v>67880.17</v>
      </c>
      <c r="D11" s="18" t="n">
        <v>7</v>
      </c>
    </row>
    <row r="12" customFormat="false" ht="15" hidden="false" customHeight="false" outlineLevel="0" collapsed="false">
      <c r="A12" s="4" t="s">
        <v>42</v>
      </c>
      <c r="B12" s="9" t="n">
        <v>290622</v>
      </c>
      <c r="C12" s="9" t="n">
        <v>58168.15</v>
      </c>
      <c r="D12" s="18" t="n">
        <v>7</v>
      </c>
    </row>
    <row r="13" customFormat="false" ht="15" hidden="false" customHeight="false" outlineLevel="0" collapsed="false">
      <c r="A13" s="4" t="s">
        <v>43</v>
      </c>
      <c r="B13" s="9" t="n">
        <v>497725</v>
      </c>
      <c r="C13" s="9" t="n">
        <v>135453.9</v>
      </c>
      <c r="D13" s="18" t="n">
        <v>7</v>
      </c>
    </row>
    <row r="14" customFormat="false" ht="15" hidden="false" customHeight="false" outlineLevel="0" collapsed="false">
      <c r="A14" s="4" t="s">
        <v>44</v>
      </c>
      <c r="B14" s="9" t="n">
        <v>316664</v>
      </c>
      <c r="C14" s="9" t="n">
        <v>67117.7</v>
      </c>
      <c r="D14" s="18" t="n">
        <v>7</v>
      </c>
    </row>
    <row r="15" customFormat="false" ht="15" hidden="false" customHeight="false" outlineLevel="0" collapsed="false">
      <c r="A15" s="4" t="s">
        <v>45</v>
      </c>
      <c r="B15" s="9" t="n">
        <v>654667</v>
      </c>
      <c r="C15" s="9" t="n">
        <v>199745.79</v>
      </c>
      <c r="D15" s="18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2026-10-07T05:55:08Z</dcterms:created>
  <dc:creator>openpyxl</dc:creator>
  <dc:description/>
  <dc:language>en-US</dc:language>
  <cp:lastModifiedBy/>
  <dcterms:modified xsi:type="dcterms:W3CDTF">2026-10-07T05:55:08Z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